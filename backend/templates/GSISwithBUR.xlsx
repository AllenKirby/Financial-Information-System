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CBEC42F-5515-40DC-9B9C-31892F66EB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120" i="1" l="1"/>
  <c r="G26" i="1"/>
  <c r="G25" i="1"/>
  <c r="G24" i="1"/>
  <c r="G23" i="1"/>
  <c r="C30" i="1" s="1"/>
  <c r="G30" i="1" s="1"/>
  <c r="Q30" i="1" s="1"/>
  <c r="Q17" i="1" l="1"/>
  <c r="Q39" i="1" s="1"/>
  <c r="N49" i="1" s="1"/>
  <c r="Q51" i="1" s="1"/>
</calcChain>
</file>

<file path=xl/sharedStrings.xml><?xml version="1.0" encoding="utf-8"?>
<sst xmlns="http://schemas.openxmlformats.org/spreadsheetml/2006/main" count="214" uniqueCount="112">
  <si>
    <t xml:space="preserve"> Fund Cluster :  </t>
  </si>
  <si>
    <t xml:space="preserve"> Date :</t>
  </si>
  <si>
    <t>DV No.:</t>
  </si>
  <si>
    <t xml:space="preserve">                      DISBURSEMENT VOUCHER</t>
  </si>
  <si>
    <t>Mode of Payment</t>
  </si>
  <si>
    <t>MDS Check</t>
  </si>
  <si>
    <t>Commercial Check</t>
  </si>
  <si>
    <t>ADA</t>
  </si>
  <si>
    <t>√</t>
  </si>
  <si>
    <t>Others (Please specify) - LCCA</t>
  </si>
  <si>
    <t>Payee</t>
  </si>
  <si>
    <t xml:space="preserve">TIN/Employee No.: </t>
  </si>
  <si>
    <t xml:space="preserve">ORS/BURS No.: </t>
  </si>
  <si>
    <t>Address</t>
  </si>
  <si>
    <t>Particulars</t>
  </si>
  <si>
    <t>MFO/PAP</t>
  </si>
  <si>
    <t>Amount</t>
  </si>
  <si>
    <t xml:space="preserve">                  To Payment of  GSIS Insurance of  __________________________________ , as per attached supporting documents in the amount of . . . . . </t>
  </si>
  <si>
    <t>₱</t>
  </si>
  <si>
    <t>PREMIUM</t>
  </si>
  <si>
    <t>-</t>
  </si>
  <si>
    <t>DOC. STAMP - DST Premium</t>
  </si>
  <si>
    <t>DST (COC)</t>
  </si>
  <si>
    <t>VAT 12%</t>
  </si>
  <si>
    <t>Tax Base :</t>
  </si>
  <si>
    <t>x 5%</t>
  </si>
  <si>
    <t>REF No.:</t>
  </si>
  <si>
    <t>P.R.No.</t>
  </si>
  <si>
    <t>P.O.No.</t>
  </si>
  <si>
    <t>ASA NO.:</t>
  </si>
  <si>
    <t>Amount Due</t>
  </si>
  <si>
    <t>A.</t>
  </si>
  <si>
    <t xml:space="preserve"> Certified:  Expenses/Cash Advance necessary,  lawful and  incurred under my direct supervision.</t>
  </si>
  <si>
    <t xml:space="preserve">  </t>
  </si>
  <si>
    <t>Division Manager-Administrative and Finance Division</t>
  </si>
  <si>
    <t>B.</t>
  </si>
  <si>
    <t xml:space="preserve"> Accounting Entry:</t>
  </si>
  <si>
    <t>Account Title</t>
  </si>
  <si>
    <t>UACS Code</t>
  </si>
  <si>
    <t>DEBIT</t>
  </si>
  <si>
    <t>CREDIT</t>
  </si>
  <si>
    <t>Cash-in-Bank Current Account</t>
  </si>
  <si>
    <t>1-01-02-020</t>
  </si>
  <si>
    <t xml:space="preserve">            Cash - in- Bank</t>
  </si>
  <si>
    <t>C.</t>
  </si>
  <si>
    <t>Certified:</t>
  </si>
  <si>
    <t xml:space="preserve">D. </t>
  </si>
  <si>
    <t>Approved for Payment</t>
  </si>
  <si>
    <t xml:space="preserve"> Cash available</t>
  </si>
  <si>
    <t>SEVEN THOUSAND TWO HUNDRED TWENTY FOUR PESOS &amp; 55/100</t>
  </si>
  <si>
    <t xml:space="preserve"> Subject to Authority to Debit Account (when applicable)</t>
  </si>
  <si>
    <t xml:space="preserve"> Supporting documents complete and amount claimed </t>
  </si>
  <si>
    <t>proper</t>
  </si>
  <si>
    <t>Signature</t>
  </si>
  <si>
    <t>Printed Name</t>
  </si>
  <si>
    <t>Position</t>
  </si>
  <si>
    <t>Chief Corporate Accountant B</t>
  </si>
  <si>
    <t>Regional Manager A</t>
  </si>
  <si>
    <t>Head, Accounting Unit/Authorized Representative</t>
  </si>
  <si>
    <t>Agency Head/Authorized Representative</t>
  </si>
  <si>
    <t>Date</t>
  </si>
  <si>
    <t xml:space="preserve">E. </t>
  </si>
  <si>
    <t xml:space="preserve">Receipt of Payment </t>
  </si>
  <si>
    <t>JEV  No.</t>
  </si>
  <si>
    <t>Check/ ADA No. :</t>
  </si>
  <si>
    <t>Date :</t>
  </si>
  <si>
    <t>Bank Name &amp; Account Number:</t>
  </si>
  <si>
    <t>N/A</t>
  </si>
  <si>
    <t>Signature :</t>
  </si>
  <si>
    <t>Printed Name:</t>
  </si>
  <si>
    <t>Official Receipt No. &amp; Date/Other Documents</t>
  </si>
  <si>
    <t>Fund Cluster:</t>
  </si>
  <si>
    <t xml:space="preserve"> Date:</t>
  </si>
  <si>
    <t>BIR</t>
  </si>
  <si>
    <t>Calamba, City</t>
  </si>
  <si>
    <t>RO</t>
  </si>
  <si>
    <t xml:space="preserve">            </t>
  </si>
  <si>
    <t>2 02 01 010</t>
  </si>
  <si>
    <t xml:space="preserve">                             Budget Utilization Request and Status</t>
  </si>
  <si>
    <t>Office</t>
  </si>
  <si>
    <t>Responsibility Center</t>
  </si>
  <si>
    <t>Total</t>
  </si>
  <si>
    <t>Charges to appropriation/budget necessary,</t>
  </si>
  <si>
    <t>Budget available and utilized for</t>
  </si>
  <si>
    <t>lawful and under my direct supervision; and supporting</t>
  </si>
  <si>
    <t xml:space="preserve"> the purpose/adjustment necessary as  </t>
  </si>
  <si>
    <t xml:space="preserve"> documents valid, proper and legal</t>
  </si>
  <si>
    <t xml:space="preserve"> indicated above</t>
  </si>
  <si>
    <t>Signature           :</t>
  </si>
  <si>
    <t>Printed Name   :</t>
  </si>
  <si>
    <t>ERWIN M. LUCELA</t>
  </si>
  <si>
    <t>ADELIA I. LOPEZ</t>
  </si>
  <si>
    <t>Position             :</t>
  </si>
  <si>
    <t xml:space="preserve"> Division Manager A, EOD</t>
  </si>
  <si>
    <t>Financial Planning Specialist B</t>
  </si>
  <si>
    <t>Date                    :</t>
  </si>
  <si>
    <t>BSF-</t>
  </si>
  <si>
    <r>
      <rPr>
        <b/>
        <sz val="14"/>
        <color theme="1"/>
        <rFont val="Cambria"/>
        <charset val="134"/>
      </rPr>
      <t>BEM</t>
    </r>
    <r>
      <rPr>
        <sz val="14"/>
        <color theme="1"/>
        <rFont val="Cambria"/>
        <charset val="134"/>
      </rPr>
      <t>-</t>
    </r>
  </si>
  <si>
    <t>Status of Utilization</t>
  </si>
  <si>
    <t>Reference</t>
  </si>
  <si>
    <t>BURS/JEV/RCI/        RADAI/RTRAI No.</t>
  </si>
  <si>
    <t>Utilization</t>
  </si>
  <si>
    <t>Payable</t>
  </si>
  <si>
    <t>Payment</t>
  </si>
  <si>
    <t>Balance</t>
  </si>
  <si>
    <t>Not Yet Due</t>
  </si>
  <si>
    <t>Due to Demandable</t>
  </si>
  <si>
    <t>(a)</t>
  </si>
  <si>
    <t>(b)</t>
  </si>
  <si>
    <t>(c)</t>
  </si>
  <si>
    <t>(a-b)</t>
  </si>
  <si>
    <t>(b-c)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</si>
</sst>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dd\-mmm\-yy"/>
    <numFmt numFmtId="165" formatCode="_-* #,##0.00_-;\-* #,##0.00_-;_-* &quot;-&quot;??_-;_-@"/>
  </numFmts>
  <fonts count="28">
    <font>
      <sz val="11"/>
      <color theme="1"/>
      <name val="Calibri"/>
      <charset val="134"/>
      <scheme val="minor"/>
    </font>
    <font>
      <b/>
      <sz val="12"/>
      <color theme="1"/>
      <name val="Cambria"/>
      <charset val="134"/>
    </font>
    <font>
      <sz val="11"/>
      <name val="Calibri"/>
      <charset val="134"/>
      <scheme val="minor"/>
    </font>
    <font>
      <sz val="10"/>
      <color theme="1"/>
      <name val="Cambria"/>
      <charset val="134"/>
    </font>
    <font>
      <sz val="12"/>
      <color theme="1"/>
      <name val="Cambria"/>
      <charset val="134"/>
    </font>
    <font>
      <b/>
      <sz val="14"/>
      <color theme="1"/>
      <name val="Cambria"/>
      <charset val="134"/>
    </font>
    <font>
      <b/>
      <sz val="18"/>
      <color theme="1"/>
      <name val="Cambria"/>
      <charset val="134"/>
    </font>
    <font>
      <b/>
      <sz val="16"/>
      <color theme="1"/>
      <name val="Cambria"/>
      <charset val="134"/>
    </font>
    <font>
      <sz val="14"/>
      <color theme="1"/>
      <name val="Cambria"/>
      <charset val="134"/>
    </font>
    <font>
      <sz val="11"/>
      <color theme="1"/>
      <name val="Cambria"/>
      <charset val="134"/>
    </font>
    <font>
      <b/>
      <i/>
      <u/>
      <sz val="11"/>
      <color theme="1"/>
      <name val="Cambria"/>
      <charset val="134"/>
    </font>
    <font>
      <b/>
      <sz val="11"/>
      <color theme="1"/>
      <name val="Cambria"/>
      <charset val="134"/>
    </font>
    <font>
      <i/>
      <sz val="11"/>
      <color theme="1"/>
      <name val="Cambria"/>
      <charset val="134"/>
    </font>
    <font>
      <b/>
      <i/>
      <sz val="12"/>
      <color rgb="FF000000"/>
      <name val="Cambria"/>
      <charset val="134"/>
    </font>
    <font>
      <i/>
      <sz val="12"/>
      <color rgb="FF000000"/>
      <name val="Cambria"/>
      <charset val="134"/>
    </font>
    <font>
      <b/>
      <u/>
      <sz val="16"/>
      <color theme="1"/>
      <name val="Cambria"/>
      <charset val="134"/>
    </font>
    <font>
      <i/>
      <sz val="16"/>
      <color theme="1"/>
      <name val="Cambria"/>
      <charset val="134"/>
    </font>
    <font>
      <sz val="16"/>
      <color theme="1"/>
      <name val="Cambria"/>
      <charset val="134"/>
    </font>
    <font>
      <i/>
      <sz val="12"/>
      <color theme="1"/>
      <name val="Cambria"/>
      <charset val="134"/>
    </font>
    <font>
      <b/>
      <i/>
      <sz val="11"/>
      <color theme="1"/>
      <name val="Cambria"/>
      <charset val="134"/>
    </font>
    <font>
      <sz val="12"/>
      <color rgb="FF000000"/>
      <name val="Cambria"/>
      <charset val="134"/>
    </font>
    <font>
      <b/>
      <sz val="8"/>
      <color rgb="FF000000"/>
      <name val="Aptos Narrow"/>
      <charset val="134"/>
    </font>
    <font>
      <sz val="8"/>
      <color rgb="FF000000"/>
      <name val="Aptos Narrow"/>
      <charset val="134"/>
    </font>
    <font>
      <sz val="8"/>
      <color theme="1"/>
      <name val="Cambria"/>
      <charset val="134"/>
    </font>
    <font>
      <sz val="14"/>
      <color theme="1"/>
      <name val="Calibri"/>
      <charset val="134"/>
      <scheme val="minor"/>
    </font>
    <font>
      <b/>
      <i/>
      <sz val="12"/>
      <color theme="1"/>
      <name val="Cambria"/>
      <charset val="134"/>
    </font>
    <font>
      <sz val="14"/>
      <name val="Calibri"/>
      <charset val="134"/>
      <scheme val="minor"/>
    </font>
    <font>
      <sz val="16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8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 style="thin">
        <color auto="1"/>
      </right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/>
      <top/>
      <bottom style="dotted">
        <color auto="1"/>
      </bottom>
      <diagonal/>
    </border>
  </borders>
  <cellStyleXfs count="1">
    <xf numFmtId="0" fontId="0" fillId="0" borderId="0">
      <alignment vertical="center"/>
    </xf>
  </cellStyleXfs>
  <cellXfs count="337">
    <xf numFmtId="0" fontId="0" fillId="0" borderId="0" xfId="0">
      <alignment vertical="center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>
      <alignment vertical="center"/>
    </xf>
    <xf numFmtId="0" fontId="4" fillId="0" borderId="0" xfId="0" applyFont="1">
      <alignment vertical="center"/>
    </xf>
    <xf numFmtId="0" fontId="4" fillId="0" borderId="11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>
      <alignment vertical="center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>
      <alignment vertical="center"/>
    </xf>
    <xf numFmtId="0" fontId="8" fillId="0" borderId="3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/>
    </xf>
    <xf numFmtId="0" fontId="9" fillId="0" borderId="0" xfId="0" applyFont="1">
      <alignment vertical="center"/>
    </xf>
    <xf numFmtId="43" fontId="10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43" fontId="9" fillId="0" borderId="0" xfId="0" applyNumberFormat="1" applyFont="1" applyAlignment="1">
      <alignment horizontal="center" vertical="center" wrapText="1"/>
    </xf>
    <xf numFmtId="43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43" fontId="9" fillId="0" borderId="19" xfId="0" applyNumberFormat="1" applyFont="1" applyBorder="1">
      <alignment vertical="center"/>
    </xf>
    <xf numFmtId="43" fontId="10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43" fontId="12" fillId="0" borderId="0" xfId="0" applyNumberFormat="1" applyFont="1">
      <alignment vertical="center"/>
    </xf>
    <xf numFmtId="43" fontId="9" fillId="0" borderId="0" xfId="0" applyNumberFormat="1" applyFont="1">
      <alignment vertical="center"/>
    </xf>
    <xf numFmtId="43" fontId="12" fillId="0" borderId="0" xfId="0" applyNumberFormat="1" applyFont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" fillId="0" borderId="20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/>
    </xf>
    <xf numFmtId="0" fontId="4" fillId="0" borderId="18" xfId="0" applyFont="1" applyBorder="1">
      <alignment vertical="center"/>
    </xf>
    <xf numFmtId="0" fontId="1" fillId="0" borderId="18" xfId="0" applyFont="1" applyBorder="1">
      <alignment vertical="center"/>
    </xf>
    <xf numFmtId="0" fontId="8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4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0" xfId="0" applyFont="1">
      <alignment vertical="center"/>
    </xf>
    <xf numFmtId="0" fontId="4" fillId="0" borderId="9" xfId="0" applyFont="1" applyBorder="1" applyAlignment="1">
      <alignment horizontal="left" vertical="center"/>
    </xf>
    <xf numFmtId="0" fontId="8" fillId="0" borderId="10" xfId="0" applyFont="1" applyBorder="1">
      <alignment vertical="center"/>
    </xf>
    <xf numFmtId="0" fontId="1" fillId="0" borderId="27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16" xfId="0" applyFont="1" applyBorder="1">
      <alignment vertical="center"/>
    </xf>
    <xf numFmtId="0" fontId="4" fillId="0" borderId="30" xfId="0" applyFont="1" applyBorder="1">
      <alignment vertical="center"/>
    </xf>
    <xf numFmtId="0" fontId="1" fillId="0" borderId="30" xfId="0" applyFont="1" applyBorder="1" applyAlignment="1">
      <alignment horizontal="right" vertical="center"/>
    </xf>
    <xf numFmtId="0" fontId="4" fillId="0" borderId="16" xfId="0" applyFont="1" applyBorder="1" applyAlignment="1">
      <alignment vertical="center" wrapText="1"/>
    </xf>
    <xf numFmtId="0" fontId="1" fillId="0" borderId="31" xfId="0" applyFont="1" applyBorder="1" applyAlignment="1">
      <alignment horizontal="right" vertical="center"/>
    </xf>
    <xf numFmtId="165" fontId="4" fillId="0" borderId="7" xfId="0" applyNumberFormat="1" applyFont="1" applyBorder="1" applyAlignment="1">
      <alignment vertical="center" wrapText="1"/>
    </xf>
    <xf numFmtId="0" fontId="4" fillId="0" borderId="7" xfId="0" applyFont="1" applyBorder="1">
      <alignment vertical="center"/>
    </xf>
    <xf numFmtId="0" fontId="4" fillId="0" borderId="31" xfId="0" applyFont="1" applyBorder="1">
      <alignment vertical="center"/>
    </xf>
    <xf numFmtId="0" fontId="4" fillId="0" borderId="31" xfId="0" applyFont="1" applyBorder="1" applyAlignment="1">
      <alignment vertical="center" wrapText="1"/>
    </xf>
    <xf numFmtId="4" fontId="4" fillId="0" borderId="7" xfId="0" applyNumberFormat="1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43" fontId="12" fillId="0" borderId="31" xfId="0" applyNumberFormat="1" applyFont="1" applyBorder="1" applyAlignment="1">
      <alignment vertical="center" wrapText="1"/>
    </xf>
    <xf numFmtId="43" fontId="10" fillId="0" borderId="0" xfId="0" applyNumberFormat="1" applyFont="1" applyAlignment="1">
      <alignment horizontal="center" vertical="center"/>
    </xf>
    <xf numFmtId="43" fontId="4" fillId="0" borderId="7" xfId="0" applyNumberFormat="1" applyFont="1" applyBorder="1" applyAlignment="1">
      <alignment vertical="center" wrapText="1"/>
    </xf>
    <xf numFmtId="43" fontId="19" fillId="0" borderId="31" xfId="0" applyNumberFormat="1" applyFont="1" applyBorder="1" applyAlignment="1">
      <alignment vertical="center" wrapText="1"/>
    </xf>
    <xf numFmtId="0" fontId="20" fillId="0" borderId="0" xfId="0" applyFont="1">
      <alignment vertical="center"/>
    </xf>
    <xf numFmtId="0" fontId="20" fillId="0" borderId="31" xfId="0" applyFont="1" applyBorder="1">
      <alignment vertical="center"/>
    </xf>
    <xf numFmtId="0" fontId="20" fillId="0" borderId="7" xfId="0" applyFont="1" applyBorder="1">
      <alignment vertical="center"/>
    </xf>
    <xf numFmtId="0" fontId="20" fillId="0" borderId="7" xfId="0" applyFont="1" applyBorder="1" applyAlignment="1">
      <alignment vertical="center" wrapText="1"/>
    </xf>
    <xf numFmtId="0" fontId="4" fillId="0" borderId="11" xfId="0" applyFont="1" applyBorder="1">
      <alignment vertical="center"/>
    </xf>
    <xf numFmtId="0" fontId="4" fillId="0" borderId="32" xfId="0" applyFont="1" applyBorder="1">
      <alignment vertical="center"/>
    </xf>
    <xf numFmtId="0" fontId="1" fillId="0" borderId="32" xfId="0" applyFont="1" applyBorder="1" applyAlignment="1">
      <alignment horizontal="right" vertical="center"/>
    </xf>
    <xf numFmtId="43" fontId="1" fillId="0" borderId="33" xfId="0" applyNumberFormat="1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43" fontId="1" fillId="0" borderId="0" xfId="0" applyNumberFormat="1" applyFont="1" applyAlignment="1">
      <alignment horizontal="center" vertical="center" wrapText="1"/>
    </xf>
    <xf numFmtId="0" fontId="1" fillId="0" borderId="34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2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43" fontId="8" fillId="0" borderId="31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1" fillId="0" borderId="9" xfId="0" applyFont="1" applyBorder="1">
      <alignment vertical="center"/>
    </xf>
    <xf numFmtId="0" fontId="1" fillId="0" borderId="40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4" fillId="0" borderId="41" xfId="0" applyFont="1" applyBorder="1" applyAlignment="1">
      <alignment vertical="center" wrapText="1"/>
    </xf>
    <xf numFmtId="43" fontId="4" fillId="0" borderId="38" xfId="0" applyNumberFormat="1" applyFont="1" applyBorder="1" applyAlignment="1">
      <alignment horizontal="center" vertical="center" wrapText="1"/>
    </xf>
    <xf numFmtId="43" fontId="4" fillId="0" borderId="27" xfId="0" applyNumberFormat="1" applyFont="1" applyBorder="1" applyAlignment="1">
      <alignment horizontal="center" vertical="center" wrapText="1"/>
    </xf>
    <xf numFmtId="43" fontId="4" fillId="0" borderId="27" xfId="0" applyNumberFormat="1" applyFont="1" applyBorder="1" applyAlignment="1">
      <alignment vertical="center" wrapText="1"/>
    </xf>
    <xf numFmtId="43" fontId="20" fillId="0" borderId="27" xfId="0" applyNumberFormat="1" applyFont="1" applyBorder="1" applyAlignment="1">
      <alignment vertical="center" wrapText="1"/>
    </xf>
    <xf numFmtId="0" fontId="4" fillId="0" borderId="27" xfId="0" applyFont="1" applyBorder="1">
      <alignment vertical="center"/>
    </xf>
    <xf numFmtId="43" fontId="1" fillId="0" borderId="43" xfId="0" applyNumberFormat="1" applyFont="1" applyBorder="1" applyAlignment="1">
      <alignment horizontal="center" vertical="center" wrapText="1"/>
    </xf>
    <xf numFmtId="0" fontId="1" fillId="0" borderId="42" xfId="0" applyFont="1" applyBorder="1">
      <alignment vertical="center"/>
    </xf>
    <xf numFmtId="0" fontId="1" fillId="0" borderId="44" xfId="0" applyFont="1" applyBorder="1" applyAlignment="1">
      <alignment horizontal="center" vertical="center" wrapText="1"/>
    </xf>
    <xf numFmtId="165" fontId="8" fillId="0" borderId="27" xfId="0" applyNumberFormat="1" applyFont="1" applyBorder="1" applyAlignment="1">
      <alignment horizontal="center" vertical="center" wrapText="1"/>
    </xf>
    <xf numFmtId="165" fontId="8" fillId="0" borderId="4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2" fillId="0" borderId="0" xfId="0" applyFont="1" applyAlignment="1"/>
    <xf numFmtId="43" fontId="12" fillId="0" borderId="0" xfId="0" applyNumberFormat="1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 wrapText="1"/>
    </xf>
    <xf numFmtId="0" fontId="4" fillId="0" borderId="2" xfId="0" applyFont="1" applyBorder="1">
      <alignment vertical="center"/>
    </xf>
    <xf numFmtId="43" fontId="18" fillId="0" borderId="31" xfId="0" applyNumberFormat="1" applyFont="1" applyBorder="1" applyAlignment="1">
      <alignment vertical="center" wrapText="1"/>
    </xf>
    <xf numFmtId="43" fontId="25" fillId="0" borderId="31" xfId="0" applyNumberFormat="1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38" xfId="0" applyFont="1" applyBorder="1" applyAlignment="1">
      <alignment vertical="center" wrapText="1"/>
    </xf>
    <xf numFmtId="43" fontId="8" fillId="0" borderId="27" xfId="0" applyNumberFormat="1" applyFont="1" applyBorder="1" applyAlignment="1">
      <alignment horizontal="center" vertical="center" wrapText="1"/>
    </xf>
    <xf numFmtId="43" fontId="5" fillId="0" borderId="43" xfId="0" applyNumberFormat="1" applyFont="1" applyBorder="1" applyAlignment="1">
      <alignment horizontal="center" vertical="center" wrapText="1"/>
    </xf>
    <xf numFmtId="0" fontId="11" fillId="0" borderId="0" xfId="0" quotePrefix="1" applyFont="1" applyAlignment="1">
      <alignment horizontal="center" vertical="center"/>
    </xf>
    <xf numFmtId="43" fontId="9" fillId="0" borderId="0" xfId="0" quotePrefix="1" applyNumberFormat="1" applyFont="1">
      <alignment vertical="center"/>
    </xf>
    <xf numFmtId="43" fontId="12" fillId="0" borderId="0" xfId="0" quotePrefix="1" applyNumberFormat="1" applyFont="1" applyAlignment="1">
      <alignment horizontal="center" vertical="center"/>
    </xf>
    <xf numFmtId="43" fontId="11" fillId="0" borderId="0" xfId="0" quotePrefix="1" applyNumberFormat="1" applyFont="1" applyAlignment="1">
      <alignment horizontal="left" vertical="center"/>
    </xf>
    <xf numFmtId="0" fontId="4" fillId="0" borderId="14" xfId="0" applyFont="1" applyBorder="1" applyAlignment="1">
      <alignment horizontal="left" vertical="top" wrapText="1"/>
    </xf>
    <xf numFmtId="0" fontId="2" fillId="0" borderId="15" xfId="0" applyFont="1" applyBorder="1" applyAlignment="1"/>
    <xf numFmtId="0" fontId="2" fillId="0" borderId="25" xfId="0" applyFont="1" applyBorder="1" applyAlignment="1"/>
    <xf numFmtId="0" fontId="2" fillId="0" borderId="13" xfId="0" applyFont="1" applyBorder="1" applyAlignment="1"/>
    <xf numFmtId="0" fontId="4" fillId="0" borderId="16" xfId="0" applyFont="1" applyBorder="1" applyAlignment="1">
      <alignment vertical="center" wrapText="1"/>
    </xf>
    <xf numFmtId="0" fontId="2" fillId="0" borderId="30" xfId="0" applyFont="1" applyBorder="1" applyAlignment="1"/>
    <xf numFmtId="0" fontId="2" fillId="0" borderId="12" xfId="0" applyFont="1" applyBorder="1" applyAlignment="1"/>
    <xf numFmtId="0" fontId="2" fillId="0" borderId="37" xfId="0" applyFont="1" applyBorder="1" applyAlignment="1"/>
    <xf numFmtId="0" fontId="4" fillId="0" borderId="7" xfId="0" applyFont="1" applyBorder="1" applyAlignment="1">
      <alignment horizontal="center" vertical="center" wrapText="1"/>
    </xf>
    <xf numFmtId="0" fontId="2" fillId="0" borderId="27" xfId="0" applyFont="1" applyBorder="1" applyAlignment="1"/>
    <xf numFmtId="0" fontId="2" fillId="0" borderId="39" xfId="0" applyFont="1" applyBorder="1" applyAlignment="1"/>
    <xf numFmtId="0" fontId="2" fillId="0" borderId="11" xfId="0" applyFont="1" applyBorder="1" applyAlignment="1"/>
    <xf numFmtId="0" fontId="2" fillId="0" borderId="41" xfId="0" applyFont="1" applyBorder="1" applyAlignment="1"/>
    <xf numFmtId="43" fontId="9" fillId="0" borderId="0" xfId="0" quotePrefix="1" applyNumberFormat="1" applyFont="1" applyAlignment="1">
      <alignment horizontal="center" vertical="center"/>
    </xf>
    <xf numFmtId="0" fontId="5" fillId="0" borderId="14" xfId="0" applyFont="1" applyBorder="1" applyAlignment="1">
      <alignment horizontal="left" vertical="center" wrapText="1"/>
    </xf>
    <xf numFmtId="0" fontId="2" fillId="0" borderId="9" xfId="0" applyFont="1" applyBorder="1" applyAlignment="1"/>
    <xf numFmtId="0" fontId="2" fillId="0" borderId="10" xfId="0" applyFont="1" applyBorder="1" applyAlignment="1"/>
    <xf numFmtId="0" fontId="7" fillId="0" borderId="16" xfId="0" applyFont="1" applyBorder="1" applyAlignment="1">
      <alignment horizontal="left" vertical="center" wrapText="1"/>
    </xf>
    <xf numFmtId="0" fontId="2" fillId="0" borderId="38" xfId="0" applyFont="1" applyBorder="1" applyAlignment="1"/>
    <xf numFmtId="0" fontId="9" fillId="0" borderId="0" xfId="0" applyFont="1" applyAlignment="1">
      <alignment horizontal="left" vertical="center" wrapText="1"/>
    </xf>
    <xf numFmtId="0" fontId="0" fillId="0" borderId="0" xfId="0" applyAlignment="1"/>
    <xf numFmtId="0" fontId="2" fillId="0" borderId="31" xfId="0" applyFont="1" applyBorder="1" applyAlignment="1"/>
    <xf numFmtId="0" fontId="17" fillId="0" borderId="1" xfId="0" applyFont="1" applyBorder="1" applyAlignment="1">
      <alignment horizontal="center" vertical="center" wrapText="1"/>
    </xf>
    <xf numFmtId="0" fontId="2" fillId="0" borderId="2" xfId="0" applyFont="1" applyBorder="1" applyAlignment="1"/>
    <xf numFmtId="0" fontId="2" fillId="0" borderId="26" xfId="0" applyFont="1" applyBorder="1" applyAlignment="1"/>
    <xf numFmtId="0" fontId="2" fillId="0" borderId="3" xfId="0" applyFont="1" applyBorder="1" applyAlignment="1"/>
    <xf numFmtId="0" fontId="4" fillId="0" borderId="1" xfId="0" applyFont="1" applyBorder="1" applyAlignment="1">
      <alignment horizontal="left" vertical="top" wrapText="1"/>
    </xf>
    <xf numFmtId="0" fontId="2" fillId="0" borderId="36" xfId="0" applyFont="1" applyBorder="1" applyAlignment="1"/>
    <xf numFmtId="0" fontId="4" fillId="0" borderId="6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8" fillId="0" borderId="14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quotePrefix="1" applyFont="1" applyBorder="1" applyAlignment="1">
      <alignment horizontal="center" vertical="center" wrapText="1"/>
    </xf>
    <xf numFmtId="0" fontId="2" fillId="0" borderId="32" xfId="0" applyFont="1" applyBorder="1" applyAlignment="1"/>
    <xf numFmtId="0" fontId="4" fillId="0" borderId="10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43" fontId="9" fillId="0" borderId="0" xfId="0" applyNumberFormat="1" applyFont="1" applyAlignment="1">
      <alignment horizontal="left" vertical="center" wrapText="1"/>
    </xf>
    <xf numFmtId="43" fontId="9" fillId="0" borderId="0" xfId="0" applyNumberFormat="1" applyFont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/>
    <xf numFmtId="0" fontId="1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/>
    <xf numFmtId="0" fontId="1" fillId="0" borderId="28" xfId="0" applyFont="1" applyBorder="1" applyAlignment="1">
      <alignment horizontal="left" vertical="center"/>
    </xf>
    <xf numFmtId="0" fontId="2" fillId="0" borderId="18" xfId="0" applyFont="1" applyBorder="1" applyAlignment="1"/>
    <xf numFmtId="0" fontId="2" fillId="0" borderId="29" xfId="0" applyFont="1" applyBorder="1" applyAlignment="1"/>
    <xf numFmtId="0" fontId="18" fillId="0" borderId="1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5" xfId="0" applyFont="1" applyBorder="1" applyAlignment="1">
      <alignment vertical="center" wrapText="1"/>
    </xf>
    <xf numFmtId="0" fontId="2" fillId="0" borderId="19" xfId="0" applyFont="1" applyBorder="1" applyAlignment="1"/>
    <xf numFmtId="0" fontId="2" fillId="0" borderId="46" xfId="0" applyFont="1" applyBorder="1" applyAlignment="1"/>
    <xf numFmtId="0" fontId="4" fillId="0" borderId="16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8" fillId="0" borderId="30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31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center" wrapText="1"/>
    </xf>
    <xf numFmtId="0" fontId="18" fillId="0" borderId="16" xfId="0" applyFont="1" applyBorder="1" applyAlignment="1">
      <alignment vertical="center" wrapText="1"/>
    </xf>
    <xf numFmtId="0" fontId="18" fillId="0" borderId="15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24" fillId="0" borderId="0" xfId="0" applyFont="1" applyAlignment="1">
      <alignment horizontal="left"/>
    </xf>
    <xf numFmtId="43" fontId="12" fillId="0" borderId="0" xfId="0" applyNumberFormat="1" applyFont="1" applyAlignment="1">
      <alignment horizontal="center" vertical="center" wrapText="1"/>
    </xf>
    <xf numFmtId="43" fontId="12" fillId="0" borderId="0" xfId="0" applyNumberFormat="1" applyFont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49" fontId="17" fillId="0" borderId="7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7" fillId="0" borderId="27" xfId="0" applyFont="1" applyBorder="1" applyAlignment="1"/>
    <xf numFmtId="49" fontId="5" fillId="0" borderId="17" xfId="0" applyNumberFormat="1" applyFont="1" applyBorder="1" applyAlignment="1">
      <alignment horizontal="center" vertical="center" wrapText="1"/>
    </xf>
    <xf numFmtId="49" fontId="1" fillId="0" borderId="28" xfId="0" applyNumberFormat="1" applyFont="1" applyBorder="1" applyAlignment="1">
      <alignment horizontal="center" vertical="center" wrapText="1"/>
    </xf>
    <xf numFmtId="0" fontId="2" fillId="0" borderId="42" xfId="0" applyFont="1" applyBorder="1" applyAlignment="1"/>
    <xf numFmtId="0" fontId="7" fillId="0" borderId="7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2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5" xfId="0" applyFont="1" applyBorder="1" applyAlignment="1"/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center" vertical="center"/>
    </xf>
    <xf numFmtId="0" fontId="26" fillId="0" borderId="39" xfId="0" applyFont="1" applyBorder="1" applyAlignment="1"/>
    <xf numFmtId="0" fontId="1" fillId="0" borderId="3" xfId="0" applyFont="1" applyBorder="1" applyAlignment="1">
      <alignment horizontal="left" vertical="center" wrapText="1"/>
    </xf>
    <xf numFmtId="0" fontId="8" fillId="0" borderId="7" xfId="0" quotePrefix="1" applyFont="1" applyBorder="1" applyAlignment="1">
      <alignment horizontal="center" vertical="center" wrapText="1"/>
    </xf>
    <xf numFmtId="43" fontId="8" fillId="0" borderId="16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14" fontId="10" fillId="0" borderId="0" xfId="0" applyNumberFormat="1" applyFont="1" applyAlignment="1">
      <alignment horizontal="center" vertical="center" wrapText="1"/>
    </xf>
    <xf numFmtId="43" fontId="10" fillId="0" borderId="0" xfId="0" applyNumberFormat="1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0" fontId="9" fillId="0" borderId="47" xfId="0" applyFont="1" applyBorder="1">
      <alignment vertical="center"/>
    </xf>
    <xf numFmtId="0" fontId="9" fillId="0" borderId="48" xfId="0" applyFont="1" applyBorder="1">
      <alignment vertical="center"/>
    </xf>
    <xf numFmtId="0" fontId="9" fillId="0" borderId="49" xfId="0" applyFont="1" applyBorder="1">
      <alignment vertical="center"/>
    </xf>
    <xf numFmtId="0" fontId="9" fillId="0" borderId="47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0" xfId="0" applyFont="1" applyBorder="1">
      <alignment vertical="center"/>
    </xf>
    <xf numFmtId="0" fontId="9" fillId="0" borderId="51" xfId="0" applyFont="1" applyBorder="1">
      <alignment vertical="center"/>
    </xf>
    <xf numFmtId="0" fontId="5" fillId="0" borderId="50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9" fillId="0" borderId="52" xfId="0" applyFont="1" applyBorder="1">
      <alignment vertical="center"/>
    </xf>
    <xf numFmtId="0" fontId="9" fillId="0" borderId="53" xfId="0" applyFont="1" applyBorder="1">
      <alignment vertical="center"/>
    </xf>
    <xf numFmtId="0" fontId="6" fillId="0" borderId="53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/>
    </xf>
    <xf numFmtId="0" fontId="9" fillId="0" borderId="54" xfId="0" applyFont="1" applyBorder="1" applyAlignment="1">
      <alignment horizontal="left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5" fillId="0" borderId="55" xfId="0" applyFont="1" applyBorder="1" applyAlignment="1">
      <alignment horizontal="left" vertical="center"/>
    </xf>
    <xf numFmtId="0" fontId="5" fillId="0" borderId="48" xfId="0" applyFont="1" applyBorder="1" applyAlignment="1">
      <alignment horizontal="left" vertical="center"/>
    </xf>
    <xf numFmtId="0" fontId="5" fillId="0" borderId="49" xfId="0" applyFont="1" applyBorder="1" applyAlignment="1">
      <alignment horizontal="left" vertical="center"/>
    </xf>
    <xf numFmtId="0" fontId="9" fillId="0" borderId="56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5" fillId="0" borderId="58" xfId="0" applyFont="1" applyBorder="1" applyAlignment="1">
      <alignment horizontal="left" vertical="center"/>
    </xf>
    <xf numFmtId="0" fontId="5" fillId="0" borderId="57" xfId="0" applyFont="1" applyBorder="1" applyAlignment="1">
      <alignment horizontal="left" vertical="center"/>
    </xf>
    <xf numFmtId="0" fontId="5" fillId="0" borderId="59" xfId="0" applyFont="1" applyBorder="1" applyAlignment="1">
      <alignment horizontal="left" vertical="center"/>
    </xf>
    <xf numFmtId="0" fontId="5" fillId="0" borderId="5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6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6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5" fillId="0" borderId="63" xfId="0" applyFont="1" applyBorder="1" applyAlignment="1">
      <alignment horizontal="left" vertical="center"/>
    </xf>
    <xf numFmtId="0" fontId="5" fillId="0" borderId="62" xfId="0" applyFont="1" applyBorder="1" applyAlignment="1">
      <alignment horizontal="left" vertical="center"/>
    </xf>
    <xf numFmtId="0" fontId="5" fillId="0" borderId="64" xfId="0" applyFont="1" applyBorder="1" applyAlignment="1">
      <alignment horizontal="left" vertical="center"/>
    </xf>
    <xf numFmtId="0" fontId="5" fillId="0" borderId="60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0" borderId="60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8" fillId="0" borderId="60" xfId="0" applyFont="1" applyBorder="1" applyAlignment="1">
      <alignment horizontal="left" vertical="top" wrapText="1"/>
    </xf>
    <xf numFmtId="0" fontId="9" fillId="0" borderId="60" xfId="0" applyFont="1" applyBorder="1" applyAlignment="1">
      <alignment horizontal="center" vertical="center"/>
    </xf>
    <xf numFmtId="0" fontId="5" fillId="0" borderId="60" xfId="0" applyFont="1" applyBorder="1" applyAlignment="1">
      <alignment horizontal="right" vertical="center"/>
    </xf>
    <xf numFmtId="0" fontId="5" fillId="0" borderId="51" xfId="0" applyFont="1" applyBorder="1" applyAlignment="1">
      <alignment horizontal="right" vertical="center"/>
    </xf>
    <xf numFmtId="0" fontId="9" fillId="0" borderId="58" xfId="0" applyFont="1" applyBorder="1">
      <alignment vertical="center"/>
    </xf>
    <xf numFmtId="0" fontId="9" fillId="0" borderId="59" xfId="0" applyFont="1" applyBorder="1">
      <alignment vertical="center"/>
    </xf>
    <xf numFmtId="0" fontId="9" fillId="0" borderId="65" xfId="0" applyFont="1" applyBorder="1">
      <alignment vertical="center"/>
    </xf>
    <xf numFmtId="0" fontId="5" fillId="0" borderId="53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11" fillId="0" borderId="65" xfId="0" applyFont="1" applyBorder="1" applyAlignment="1">
      <alignment horizontal="right" vertical="center"/>
    </xf>
    <xf numFmtId="0" fontId="11" fillId="0" borderId="54" xfId="0" applyFont="1" applyBorder="1" applyAlignment="1">
      <alignment horizontal="right" vertical="center"/>
    </xf>
    <xf numFmtId="0" fontId="5" fillId="0" borderId="55" xfId="0" applyFont="1" applyBorder="1" applyAlignment="1">
      <alignment horizontal="center" vertical="center"/>
    </xf>
    <xf numFmtId="0" fontId="9" fillId="0" borderId="55" xfId="0" applyFont="1" applyBorder="1">
      <alignment vertical="center"/>
    </xf>
    <xf numFmtId="0" fontId="9" fillId="0" borderId="6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50" xfId="0" applyFont="1" applyBorder="1" applyAlignment="1">
      <alignment horizontal="left" vertical="center"/>
    </xf>
    <xf numFmtId="0" fontId="5" fillId="0" borderId="68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9" fillId="0" borderId="54" xfId="0" applyFont="1" applyBorder="1">
      <alignment vertical="center"/>
    </xf>
    <xf numFmtId="0" fontId="5" fillId="0" borderId="70" xfId="0" applyFont="1" applyBorder="1" applyAlignment="1">
      <alignment horizontal="left" vertical="center"/>
    </xf>
    <xf numFmtId="0" fontId="9" fillId="0" borderId="71" xfId="0" applyFont="1" applyBorder="1" applyAlignment="1">
      <alignment horizontal="left" vertical="center"/>
    </xf>
    <xf numFmtId="0" fontId="9" fillId="0" borderId="72" xfId="0" applyFont="1" applyBorder="1" applyAlignment="1">
      <alignment horizontal="left" vertical="center"/>
    </xf>
    <xf numFmtId="0" fontId="5" fillId="0" borderId="71" xfId="0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66" xfId="0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/>
    </xf>
    <xf numFmtId="0" fontId="9" fillId="0" borderId="75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76" xfId="0" applyFont="1" applyBorder="1" applyAlignment="1">
      <alignment horizontal="center" vertical="center" wrapText="1"/>
    </xf>
    <xf numFmtId="0" fontId="8" fillId="0" borderId="76" xfId="0" applyFont="1" applyBorder="1" applyAlignment="1">
      <alignment horizontal="left"/>
    </xf>
    <xf numFmtId="0" fontId="8" fillId="0" borderId="51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/>
    </xf>
    <xf numFmtId="0" fontId="9" fillId="0" borderId="77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0" fontId="8" fillId="0" borderId="79" xfId="0" applyFont="1" applyBorder="1" applyAlignment="1">
      <alignment horizontal="center" vertical="center"/>
    </xf>
    <xf numFmtId="0" fontId="8" fillId="0" borderId="80" xfId="0" applyFont="1" applyBorder="1" applyAlignment="1">
      <alignment horizontal="center" vertical="center"/>
    </xf>
    <xf numFmtId="0" fontId="8" fillId="0" borderId="80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0" fontId="9" fillId="0" borderId="82" xfId="0" applyFont="1" applyBorder="1">
      <alignment vertical="center"/>
    </xf>
    <xf numFmtId="0" fontId="9" fillId="0" borderId="83" xfId="0" applyFont="1" applyBorder="1">
      <alignment vertical="center"/>
    </xf>
    <xf numFmtId="0" fontId="9" fillId="0" borderId="84" xfId="0" applyFont="1" applyBorder="1">
      <alignment vertical="center"/>
    </xf>
    <xf numFmtId="0" fontId="9" fillId="0" borderId="85" xfId="0" applyFont="1" applyBorder="1">
      <alignment vertical="center"/>
    </xf>
    <xf numFmtId="0" fontId="9" fillId="0" borderId="86" xfId="0" applyFont="1" applyBorder="1">
      <alignment vertical="center"/>
    </xf>
    <xf numFmtId="0" fontId="9" fillId="0" borderId="87" xfId="0" applyFont="1" applyBorder="1">
      <alignment vertical="center"/>
    </xf>
    <xf numFmtId="0" fontId="9" fillId="0" borderId="77" xfId="0" applyFont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38100</xdr:rowOff>
    </xdr:from>
    <xdr:ext cx="8982075" cy="113411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23825" y="38100"/>
          <a:ext cx="8982075" cy="1134110"/>
          <a:chOff x="854963" y="3270413"/>
          <a:chExt cx="8982060" cy="1140421"/>
        </a:xfrm>
      </xdr:grpSpPr>
      <xdr:grpSp>
        <xdr:nvGrpSpPr>
          <xdr:cNvPr id="4" name="Shape 12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854963" y="3270413"/>
            <a:ext cx="8982060" cy="1140421"/>
            <a:chOff x="130968" y="71438"/>
            <a:chExt cx="7679475" cy="1412202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130968" y="71438"/>
              <a:ext cx="7679475" cy="1262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GB" altLang="en-US" sz="1400"/>
            </a:p>
          </xdr:txBody>
        </xdr:sp>
        <xdr:grpSp>
          <xdr:nvGrpSpPr>
            <xdr:cNvPr id="6" name="Shape 13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pSpPr/>
          </xdr:nvGrpSpPr>
          <xdr:grpSpPr>
            <a:xfrm>
              <a:off x="154214" y="328930"/>
              <a:ext cx="1633746" cy="1070842"/>
              <a:chOff x="15698" y="-10251"/>
              <a:chExt cx="1103249" cy="671269"/>
            </a:xfrm>
          </xdr:grpSpPr>
          <xdr:pic>
            <xdr:nvPicPr>
              <xdr:cNvPr id="7" name="Shape 14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PicPr preferRelativeResize="0"/>
            </xdr:nvPicPr>
            <xdr:blipFill>
              <a:blip xmlns:r="http://schemas.openxmlformats.org/officeDocument/2006/relationships" r:embed="rId1"/>
              <a:srcRect/>
              <a:stretch>
                <a:fillRect/>
              </a:stretch>
            </xdr:blipFill>
            <xdr:spPr>
              <a:xfrm>
                <a:off x="15698" y="-10251"/>
                <a:ext cx="500515" cy="641067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8" name="Shape 15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PicPr preferRelativeResize="0"/>
            </xdr:nvPicPr>
            <xdr:blipFill>
              <a:blip xmlns:r="http://schemas.openxmlformats.org/officeDocument/2006/relationships" r:embed="rId2"/>
              <a:srcRect/>
              <a:stretch>
                <a:fillRect/>
              </a:stretch>
            </xdr:blipFill>
            <xdr:spPr>
              <a:xfrm>
                <a:off x="594703" y="9"/>
                <a:ext cx="524244" cy="661009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9" name="Shape 16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>
            <a:xfrm>
              <a:off x="6598378" y="160285"/>
              <a:ext cx="968787" cy="1323355"/>
            </a:xfrm>
            <a:prstGeom prst="rect">
              <a:avLst/>
            </a:prstGeom>
            <a:noFill/>
            <a:ln>
              <a:noFill/>
            </a:ln>
          </xdr:spPr>
        </xdr:pic>
        <xdr:sp macro="" textlink="">
          <xdr:nvSpPr>
            <xdr:cNvPr id="10" name="Shape 17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940719" y="71438"/>
              <a:ext cx="4524375" cy="11906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1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Republic of the Philippines</a:t>
              </a:r>
              <a:endParaRPr sz="1400"/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0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OFFICE OF THE PRESIDENT</a:t>
              </a:r>
              <a:endParaRPr sz="1400" b="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600" b="1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National Irrigation Administration</a:t>
              </a:r>
              <a:endParaRPr sz="16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Regional Office No. IV-A (CALABARZON)</a:t>
              </a:r>
              <a:endParaRPr sz="12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lnSpc>
                  <a:spcPct val="107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 </a:t>
              </a:r>
              <a:endParaRPr lang="en-GB" altLang="en-US" sz="1400"/>
            </a:p>
          </xdr:txBody>
        </xdr:sp>
      </xdr:grpSp>
    </xdr:grpSp>
    <xdr:clientData fLocksWithSheet="0"/>
  </xdr:oneCellAnchor>
  <xdr:oneCellAnchor>
    <xdr:from>
      <xdr:col>0</xdr:col>
      <xdr:colOff>24764</xdr:colOff>
      <xdr:row>73</xdr:row>
      <xdr:rowOff>0</xdr:rowOff>
    </xdr:from>
    <xdr:ext cx="13623199" cy="1829344"/>
    <xdr:pic>
      <xdr:nvPicPr>
        <xdr:cNvPr id="11" name="image14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" cstate="print"/>
        <a:srcRect t="75301"/>
        <a:stretch/>
      </xdr:blipFill>
      <xdr:spPr>
        <a:xfrm>
          <a:off x="24764" y="15416893"/>
          <a:ext cx="13623199" cy="1829344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587375</xdr:colOff>
      <xdr:row>75</xdr:row>
      <xdr:rowOff>39370</xdr:rowOff>
    </xdr:from>
    <xdr:ext cx="1362075" cy="704850"/>
    <xdr:pic>
      <xdr:nvPicPr>
        <xdr:cNvPr id="12" name="image1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340975" y="16022320"/>
          <a:ext cx="136207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90</xdr:row>
      <xdr:rowOff>46990</xdr:rowOff>
    </xdr:from>
    <xdr:ext cx="8648700" cy="1069975"/>
    <xdr:grpSp>
      <xdr:nvGrpSpPr>
        <xdr:cNvPr id="14" name="Shape 2" title="Drawi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>
          <a:grpSpLocks noChangeAspect="1"/>
        </xdr:cNvGrpSpPr>
      </xdr:nvGrpSpPr>
      <xdr:grpSpPr>
        <a:xfrm>
          <a:off x="123825" y="18729597"/>
          <a:ext cx="8648700" cy="1069975"/>
          <a:chOff x="1021650" y="3270413"/>
          <a:chExt cx="8648700" cy="1073047"/>
        </a:xfrm>
      </xdr:grpSpPr>
      <xdr:grpSp>
        <xdr:nvGrpSpPr>
          <xdr:cNvPr id="15" name="Shape 26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/>
        </xdr:nvGrpSpPr>
        <xdr:grpSpPr>
          <a:xfrm>
            <a:off x="1021650" y="3270413"/>
            <a:ext cx="8648700" cy="1073047"/>
            <a:chOff x="130968" y="71438"/>
            <a:chExt cx="7679488" cy="1328771"/>
          </a:xfrm>
        </xdr:grpSpPr>
        <xdr:sp macro="" textlink="">
          <xdr:nvSpPr>
            <xdr:cNvPr id="16" name="Shape 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/>
          </xdr:nvSpPr>
          <xdr:spPr>
            <a:xfrm>
              <a:off x="130968" y="71438"/>
              <a:ext cx="7679475" cy="1262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GB" altLang="en-US" sz="1400"/>
            </a:p>
          </xdr:txBody>
        </xdr:sp>
        <xdr:grpSp>
          <xdr:nvGrpSpPr>
            <xdr:cNvPr id="17" name="Shape 27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GrpSpPr/>
          </xdr:nvGrpSpPr>
          <xdr:grpSpPr>
            <a:xfrm>
              <a:off x="147884" y="282376"/>
              <a:ext cx="1500375" cy="931802"/>
              <a:chOff x="11423" y="-39434"/>
              <a:chExt cx="1013185" cy="584110"/>
            </a:xfrm>
          </xdr:grpSpPr>
          <xdr:pic>
            <xdr:nvPicPr>
              <xdr:cNvPr id="18" name="Shape 28">
                <a:extLs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PicPr preferRelativeResize="0">
                <a:picLocks noChangeAspect="1"/>
              </xdr:cNvPicPr>
            </xdr:nvPicPr>
            <xdr:blipFill>
              <a:blip xmlns:r="http://schemas.openxmlformats.org/officeDocument/2006/relationships" r:embed="rId1"/>
              <a:srcRect/>
              <a:stretch>
                <a:fillRect/>
              </a:stretch>
            </xdr:blipFill>
            <xdr:spPr>
              <a:xfrm>
                <a:off x="11423" y="-29575"/>
                <a:ext cx="467566" cy="572773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9" name="Shape 29">
                <a:extLst>
                  <a:ext uri="{FF2B5EF4-FFF2-40B4-BE49-F238E27FC236}">
                    <a16:creationId xmlns:a16="http://schemas.microsoft.com/office/drawing/2014/main" id="{00000000-0008-0000-0000-000013000000}"/>
                  </a:ext>
                </a:extLst>
              </xdr:cNvPr>
              <xdr:cNvPicPr preferRelativeResize="0">
                <a:picLocks noChangeAspect="1"/>
              </xdr:cNvPicPr>
            </xdr:nvPicPr>
            <xdr:blipFill>
              <a:blip xmlns:r="http://schemas.openxmlformats.org/officeDocument/2006/relationships" r:embed="rId2"/>
              <a:srcRect/>
              <a:stretch>
                <a:fillRect/>
              </a:stretch>
            </xdr:blipFill>
            <xdr:spPr>
              <a:xfrm>
                <a:off x="559708" y="-39434"/>
                <a:ext cx="464900" cy="584110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20" name="Shape 30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PicPr preferRelativeResize="0">
              <a:picLocks noChangeAspect="1"/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>
            <a:xfrm>
              <a:off x="6869606" y="142802"/>
              <a:ext cx="940850" cy="1257407"/>
            </a:xfrm>
            <a:prstGeom prst="rect">
              <a:avLst/>
            </a:prstGeom>
            <a:noFill/>
            <a:ln>
              <a:noFill/>
            </a:ln>
          </xdr:spPr>
        </xdr:pic>
        <xdr:sp macro="" textlink="">
          <xdr:nvSpPr>
            <xdr:cNvPr id="21" name="Shape 31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940719" y="71438"/>
              <a:ext cx="4524375" cy="11906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1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Republic of the Philippines</a:t>
              </a:r>
              <a:endParaRPr sz="1400"/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0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OFFICE OF THE PRESIDENT</a:t>
              </a:r>
              <a:endParaRPr sz="1400" b="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600" b="1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National Irrigation Administration</a:t>
              </a:r>
              <a:endParaRPr sz="16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Regional Office No. IV-A (CALABARZON)</a:t>
              </a:r>
              <a:endParaRPr sz="12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lnSpc>
                  <a:spcPct val="107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 </a:t>
              </a:r>
              <a:endParaRPr lang="en-GB" altLang="en-US" sz="1400"/>
            </a:p>
          </xdr:txBody>
        </xdr:sp>
      </xdr:grpSp>
    </xdr:grpSp>
    <xdr:clientData fLocksWithSheet="0"/>
  </xdr:oneCellAnchor>
  <xdr:oneCellAnchor>
    <xdr:from>
      <xdr:col>0</xdr:col>
      <xdr:colOff>55245</xdr:colOff>
      <xdr:row>152</xdr:row>
      <xdr:rowOff>136072</xdr:rowOff>
    </xdr:from>
    <xdr:ext cx="13429434" cy="1959428"/>
    <xdr:pic>
      <xdr:nvPicPr>
        <xdr:cNvPr id="22" name="image14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" cstate="print"/>
        <a:srcRect t="78322" b="-128"/>
        <a:stretch/>
      </xdr:blipFill>
      <xdr:spPr>
        <a:xfrm>
          <a:off x="55245" y="31976786"/>
          <a:ext cx="13429434" cy="1959428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544195</xdr:colOff>
      <xdr:row>155</xdr:row>
      <xdr:rowOff>146050</xdr:rowOff>
    </xdr:from>
    <xdr:ext cx="1276350" cy="695325"/>
    <xdr:pic>
      <xdr:nvPicPr>
        <xdr:cNvPr id="23" name="image1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297795" y="32150050"/>
          <a:ext cx="1276350" cy="695325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158750</xdr:colOff>
      <xdr:row>153</xdr:row>
      <xdr:rowOff>85725</xdr:rowOff>
    </xdr:from>
    <xdr:to>
      <xdr:col>9</xdr:col>
      <xdr:colOff>339725</xdr:colOff>
      <xdr:row>159</xdr:row>
      <xdr:rowOff>139065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58750" y="31689675"/>
          <a:ext cx="5667375" cy="122491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/>
            <a:t>National Hi-way, Rizal St., Brgy. Sta. Clara Sur, Pila, Laguna, Philippines</a:t>
          </a:r>
        </a:p>
        <a:p>
          <a:pPr algn="l"/>
          <a:r>
            <a:rPr lang="en-GB" altLang="en-US" sz="1100" b="1"/>
            <a:t>Tel. Nos.: (049) 559 0722 (Administrative) • 559 0723 (Engineering) • 559 0724 (COA) • 559 0727 (Regional Manager)</a:t>
          </a:r>
        </a:p>
        <a:p>
          <a:pPr algn="l"/>
          <a:r>
            <a:rPr lang="en-GB" altLang="en-US" sz="1100" b="1"/>
            <a:t>          • 576 5543 (Equipment) • 523 3668 (Finance) Telefax No.: (049) 559 0726</a:t>
          </a:r>
        </a:p>
        <a:p>
          <a:pPr algn="l"/>
          <a:r>
            <a:rPr lang="en-GB" altLang="en-US" sz="1100" b="1"/>
            <a:t>Website: region4a.nia.gov.ph • Facebook: www.facebook.com/region4a.nia.gov.ph</a:t>
          </a:r>
        </a:p>
        <a:p>
          <a:pPr algn="l"/>
          <a:r>
            <a:rPr lang="en-GB" altLang="en-US" sz="1100" b="1"/>
            <a:t>TIN: 000916415043</a:t>
          </a:r>
        </a:p>
        <a:p>
          <a:pPr algn="l"/>
          <a:r>
            <a:rPr lang="en-GB" altLang="en-US" sz="1100" b="1"/>
            <a:t> </a:t>
          </a:r>
        </a:p>
        <a:p>
          <a:pPr algn="l"/>
          <a:endParaRPr lang="en-GB" altLang="en-US" sz="1100" b="1"/>
        </a:p>
      </xdr:txBody>
    </xdr:sp>
    <xdr:clientData/>
  </xdr:twoCellAnchor>
  <xdr:twoCellAnchor editAs="oneCell">
    <xdr:from>
      <xdr:col>0</xdr:col>
      <xdr:colOff>160020</xdr:colOff>
      <xdr:row>160</xdr:row>
      <xdr:rowOff>0</xdr:rowOff>
    </xdr:from>
    <xdr:to>
      <xdr:col>4</xdr:col>
      <xdr:colOff>389890</xdr:colOff>
      <xdr:row>161</xdr:row>
      <xdr:rowOff>107315</xdr:rowOff>
    </xdr:to>
    <xdr:pic>
      <xdr:nvPicPr>
        <xdr:cNvPr id="26" name="Picture 1053218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0020" y="32966025"/>
          <a:ext cx="2668270" cy="297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161290</xdr:colOff>
      <xdr:row>73</xdr:row>
      <xdr:rowOff>3175</xdr:rowOff>
    </xdr:from>
    <xdr:to>
      <xdr:col>9</xdr:col>
      <xdr:colOff>342265</xdr:colOff>
      <xdr:row>79</xdr:row>
      <xdr:rowOff>66040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61290" y="15586075"/>
          <a:ext cx="5667375" cy="122491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/>
            <a:t>National Hi-way, Rizal St., Brgy. Sta. Clara Sur, Pila, Laguna, Philippines</a:t>
          </a:r>
        </a:p>
        <a:p>
          <a:pPr algn="l"/>
          <a:r>
            <a:rPr lang="en-GB" altLang="en-US" sz="1100" b="1"/>
            <a:t>Tel. Nos.: (049) 559 0722 (Administrative) • 559 0723 (Engineering) • 559 0724 (COA) • 559 0727 (Regional Manager)</a:t>
          </a:r>
        </a:p>
        <a:p>
          <a:pPr algn="l"/>
          <a:r>
            <a:rPr lang="en-GB" altLang="en-US" sz="1100" b="1"/>
            <a:t>          • 576 5543 (Equipment) • 523 3668 (Finance) Telefax No.: (049) 559 0726</a:t>
          </a:r>
        </a:p>
        <a:p>
          <a:pPr algn="l"/>
          <a:r>
            <a:rPr lang="en-GB" altLang="en-US" sz="1100" b="1"/>
            <a:t>Website: region4a.nia.gov.ph • Facebook: www.facebook.com/region4a.nia.gov.ph</a:t>
          </a:r>
        </a:p>
        <a:p>
          <a:pPr algn="l"/>
          <a:r>
            <a:rPr lang="en-GB" altLang="en-US" sz="1100" b="1"/>
            <a:t>TIN: 000916415043</a:t>
          </a:r>
        </a:p>
        <a:p>
          <a:pPr algn="l"/>
          <a:r>
            <a:rPr lang="en-GB" altLang="en-US" sz="1100" b="1"/>
            <a:t> </a:t>
          </a:r>
        </a:p>
        <a:p>
          <a:pPr algn="l"/>
          <a:endParaRPr lang="en-GB" altLang="en-US" sz="1100" b="1"/>
        </a:p>
      </xdr:txBody>
    </xdr:sp>
    <xdr:clientData/>
  </xdr:twoCellAnchor>
  <xdr:twoCellAnchor editAs="oneCell">
    <xdr:from>
      <xdr:col>0</xdr:col>
      <xdr:colOff>241935</xdr:colOff>
      <xdr:row>79</xdr:row>
      <xdr:rowOff>149860</xdr:rowOff>
    </xdr:from>
    <xdr:to>
      <xdr:col>4</xdr:col>
      <xdr:colOff>471805</xdr:colOff>
      <xdr:row>81</xdr:row>
      <xdr:rowOff>66675</xdr:rowOff>
    </xdr:to>
    <xdr:pic>
      <xdr:nvPicPr>
        <xdr:cNvPr id="28" name="Picture 10532184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1935" y="16894810"/>
          <a:ext cx="2668270" cy="297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233680</xdr:colOff>
      <xdr:row>167</xdr:row>
      <xdr:rowOff>36830</xdr:rowOff>
    </xdr:from>
    <xdr:to>
      <xdr:col>2</xdr:col>
      <xdr:colOff>34290</xdr:colOff>
      <xdr:row>170</xdr:row>
      <xdr:rowOff>137160</xdr:rowOff>
    </xdr:to>
    <xdr:pic>
      <xdr:nvPicPr>
        <xdr:cNvPr id="2" name="Shape 29">
          <a:extLst>
            <a:ext uri="{FF2B5EF4-FFF2-40B4-BE49-F238E27FC236}">
              <a16:creationId xmlns:a16="http://schemas.microsoft.com/office/drawing/2014/main" id="{DB236C5F-6B6E-4356-9464-E0E8FD777BC5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33680" y="32974280"/>
          <a:ext cx="1019810" cy="96710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33655</xdr:colOff>
      <xdr:row>166</xdr:row>
      <xdr:rowOff>137795</xdr:rowOff>
    </xdr:from>
    <xdr:to>
      <xdr:col>4</xdr:col>
      <xdr:colOff>155575</xdr:colOff>
      <xdr:row>170</xdr:row>
      <xdr:rowOff>372745</xdr:rowOff>
    </xdr:to>
    <xdr:pic>
      <xdr:nvPicPr>
        <xdr:cNvPr id="13" name="Shape 30">
          <a:extLst>
            <a:ext uri="{FF2B5EF4-FFF2-40B4-BE49-F238E27FC236}">
              <a16:creationId xmlns:a16="http://schemas.microsoft.com/office/drawing/2014/main" id="{C4AF049E-149B-4949-8302-0D69616653C2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252855" y="32751395"/>
          <a:ext cx="1503045" cy="14255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183515</xdr:colOff>
      <xdr:row>165</xdr:row>
      <xdr:rowOff>124460</xdr:rowOff>
    </xdr:from>
    <xdr:to>
      <xdr:col>12</xdr:col>
      <xdr:colOff>400685</xdr:colOff>
      <xdr:row>169</xdr:row>
      <xdr:rowOff>316865</xdr:rowOff>
    </xdr:to>
    <xdr:sp macro="" textlink="">
      <xdr:nvSpPr>
        <xdr:cNvPr id="24" name="Shape 31">
          <a:extLst>
            <a:ext uri="{FF2B5EF4-FFF2-40B4-BE49-F238E27FC236}">
              <a16:creationId xmlns:a16="http://schemas.microsoft.com/office/drawing/2014/main" id="{13AFBADE-3015-411A-A687-E4E5A5F0BA4F}"/>
            </a:ext>
          </a:extLst>
        </xdr:cNvPr>
        <xdr:cNvSpPr txBox="1">
          <a:spLocks noChangeAspect="1"/>
        </xdr:cNvSpPr>
      </xdr:nvSpPr>
      <xdr:spPr>
        <a:xfrm>
          <a:off x="2783840" y="32547560"/>
          <a:ext cx="5093970" cy="125920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latin typeface="Cambria" panose="02040503050406030204"/>
            <a:ea typeface="Cambria" panose="02040503050406030204"/>
            <a:cs typeface="Cambria" panose="02040503050406030204"/>
            <a:sym typeface="Cambria" panose="02040503050406030204"/>
          </a:endParaRPr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rPr>
            <a:t>Republic of the Philippines</a:t>
          </a:r>
          <a:endParaRPr sz="1400"/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rPr>
            <a:t>OFFICE OF THE PRESIDENT</a:t>
          </a:r>
          <a:endParaRPr sz="1400" b="0">
            <a:latin typeface="Cambria" panose="02040503050406030204"/>
            <a:ea typeface="Cambria" panose="02040503050406030204"/>
            <a:cs typeface="Cambria" panose="02040503050406030204"/>
            <a:sym typeface="Cambria" panose="02040503050406030204"/>
          </a:endParaRPr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latin typeface="Arial" panose="020B0604020202020204"/>
              <a:ea typeface="Arial" panose="020B0604020202020204"/>
              <a:cs typeface="Arial" panose="020B0604020202020204"/>
              <a:sym typeface="Arial" panose="020B0604020202020204"/>
            </a:rPr>
            <a:t>National Irrigation Administration</a:t>
          </a:r>
          <a:endParaRPr sz="1600"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Arial" panose="020B0604020202020204"/>
              <a:ea typeface="Arial" panose="020B0604020202020204"/>
              <a:cs typeface="Arial" panose="020B0604020202020204"/>
              <a:sym typeface="Arial" panose="020B0604020202020204"/>
            </a:rPr>
            <a:t>Regional Office No. IV-A (CALABARZON)</a:t>
          </a:r>
          <a:endParaRPr sz="1200"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marR="0" lvl="0" indent="0" algn="l" rtl="0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Arial" panose="020B0604020202020204"/>
              <a:ea typeface="Arial" panose="020B0604020202020204"/>
              <a:cs typeface="Arial" panose="020B0604020202020204"/>
              <a:sym typeface="Arial" panose="020B0604020202020204"/>
            </a:rPr>
            <a:t> </a:t>
          </a:r>
          <a:endParaRPr lang="en-GB" altLang="en-US" sz="1400"/>
        </a:p>
      </xdr:txBody>
    </xdr:sp>
    <xdr:clientData/>
  </xdr:twoCellAnchor>
  <xdr:oneCellAnchor>
    <xdr:from>
      <xdr:col>0</xdr:col>
      <xdr:colOff>9525</xdr:colOff>
      <xdr:row>195</xdr:row>
      <xdr:rowOff>97155</xdr:rowOff>
    </xdr:from>
    <xdr:ext cx="12099925" cy="7957820"/>
    <xdr:pic>
      <xdr:nvPicPr>
        <xdr:cNvPr id="29" name="image14.png">
          <a:extLst>
            <a:ext uri="{FF2B5EF4-FFF2-40B4-BE49-F238E27FC236}">
              <a16:creationId xmlns:a16="http://schemas.microsoft.com/office/drawing/2014/main" id="{438BC14D-EFB3-4CE5-8375-603C9CCF29BA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525" y="38978205"/>
          <a:ext cx="12099925" cy="795782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95885</xdr:colOff>
      <xdr:row>224</xdr:row>
      <xdr:rowOff>186055</xdr:rowOff>
    </xdr:from>
    <xdr:to>
      <xdr:col>9</xdr:col>
      <xdr:colOff>111125</xdr:colOff>
      <xdr:row>231</xdr:row>
      <xdr:rowOff>77470</xdr:rowOff>
    </xdr:to>
    <xdr:sp macro="" textlink="">
      <xdr:nvSpPr>
        <xdr:cNvPr id="30" name="Text Box 52">
          <a:extLst>
            <a:ext uri="{FF2B5EF4-FFF2-40B4-BE49-F238E27FC236}">
              <a16:creationId xmlns:a16="http://schemas.microsoft.com/office/drawing/2014/main" id="{C3075612-C533-44AC-ACEF-542D621B0B60}"/>
            </a:ext>
          </a:extLst>
        </xdr:cNvPr>
        <xdr:cNvSpPr txBox="1"/>
      </xdr:nvSpPr>
      <xdr:spPr>
        <a:xfrm>
          <a:off x="95885" y="45296455"/>
          <a:ext cx="5663565" cy="122491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GB" altLang="en-US" sz="1100" b="1"/>
            <a:t>National Hi-way, Rizal St., Brgy. Sta. Clara Sur, Pila, Laguna, Philippines</a:t>
          </a:r>
        </a:p>
        <a:p>
          <a:pPr algn="l"/>
          <a:r>
            <a:rPr lang="en-GB" altLang="en-US" sz="1100" b="1"/>
            <a:t>Tel. Nos.: (049) 559 0722 (Administrative) • 559 0723 (Engineering) • 559 0724 (COA) • 559 0727 (Regional Manager)</a:t>
          </a:r>
        </a:p>
        <a:p>
          <a:pPr algn="l"/>
          <a:r>
            <a:rPr lang="en-GB" altLang="en-US" sz="1100" b="1"/>
            <a:t>          • 576 5543 (Equipment) • 523 3668 (Finance) Telefax No.: (049) 559 0726</a:t>
          </a:r>
        </a:p>
        <a:p>
          <a:pPr algn="l"/>
          <a:r>
            <a:rPr lang="en-GB" altLang="en-US" sz="1100" b="1"/>
            <a:t>Website: region4a.nia.gov.ph • Facebook: www.facebook.com/region4a.nia.gov.ph</a:t>
          </a:r>
        </a:p>
        <a:p>
          <a:pPr algn="l"/>
          <a:r>
            <a:rPr lang="en-GB" altLang="en-US" sz="1100" b="1"/>
            <a:t>TIN: 000916415043</a:t>
          </a:r>
        </a:p>
        <a:p>
          <a:pPr algn="l"/>
          <a:r>
            <a:rPr lang="en-GB" altLang="en-US" sz="1100" b="1"/>
            <a:t> </a:t>
          </a:r>
        </a:p>
        <a:p>
          <a:pPr algn="l"/>
          <a:endParaRPr lang="en-GB" altLang="en-US" sz="1100" b="1"/>
        </a:p>
      </xdr:txBody>
    </xdr:sp>
    <xdr:clientData/>
  </xdr:twoCellAnchor>
  <xdr:oneCellAnchor>
    <xdr:from>
      <xdr:col>15</xdr:col>
      <xdr:colOff>1194435</xdr:colOff>
      <xdr:row>226</xdr:row>
      <xdr:rowOff>122555</xdr:rowOff>
    </xdr:from>
    <xdr:ext cx="1276350" cy="695325"/>
    <xdr:pic>
      <xdr:nvPicPr>
        <xdr:cNvPr id="31" name="image1.jpg">
          <a:extLst>
            <a:ext uri="{FF2B5EF4-FFF2-40B4-BE49-F238E27FC236}">
              <a16:creationId xmlns:a16="http://schemas.microsoft.com/office/drawing/2014/main" id="{697F5BAE-C020-41C8-AEAE-8BAFBDA352F2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500360" y="45613955"/>
          <a:ext cx="1276350" cy="695325"/>
        </a:xfrm>
        <a:prstGeom prst="rect">
          <a:avLst/>
        </a:prstGeom>
        <a:noFill/>
      </xdr:spPr>
    </xdr:pic>
    <xdr:clientData fLocksWithSheet="0"/>
  </xdr:oneCellAnchor>
  <xdr:twoCellAnchor>
    <xdr:from>
      <xdr:col>15</xdr:col>
      <xdr:colOff>75565</xdr:colOff>
      <xdr:row>225</xdr:row>
      <xdr:rowOff>171450</xdr:rowOff>
    </xdr:from>
    <xdr:to>
      <xdr:col>15</xdr:col>
      <xdr:colOff>1029335</xdr:colOff>
      <xdr:row>230</xdr:row>
      <xdr:rowOff>125095</xdr:rowOff>
    </xdr:to>
    <xdr:pic>
      <xdr:nvPicPr>
        <xdr:cNvPr id="32" name="Picture 4392222">
          <a:extLst>
            <a:ext uri="{FF2B5EF4-FFF2-40B4-BE49-F238E27FC236}">
              <a16:creationId xmlns:a16="http://schemas.microsoft.com/office/drawing/2014/main" id="{8C2EA042-B6AF-46F2-8EB1-6B5852D5B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81490" y="45472350"/>
          <a:ext cx="953770" cy="906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64770</xdr:colOff>
      <xdr:row>231</xdr:row>
      <xdr:rowOff>75565</xdr:rowOff>
    </xdr:from>
    <xdr:to>
      <xdr:col>4</xdr:col>
      <xdr:colOff>290830</xdr:colOff>
      <xdr:row>232</xdr:row>
      <xdr:rowOff>182880</xdr:rowOff>
    </xdr:to>
    <xdr:pic>
      <xdr:nvPicPr>
        <xdr:cNvPr id="33" name="Picture 10532184">
          <a:extLst>
            <a:ext uri="{FF2B5EF4-FFF2-40B4-BE49-F238E27FC236}">
              <a16:creationId xmlns:a16="http://schemas.microsoft.com/office/drawing/2014/main" id="{36CFFD5B-F29D-4FDB-B58E-2B4FEC1E8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770" y="46519465"/>
          <a:ext cx="2664460" cy="2978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23"/>
  <sheetViews>
    <sheetView tabSelected="1" topLeftCell="A142" zoomScale="70" zoomScaleNormal="70" workbookViewId="0">
      <selection activeCell="T225" sqref="T225"/>
    </sheetView>
  </sheetViews>
  <sheetFormatPr defaultColWidth="9.140625" defaultRowHeight="15"/>
  <cols>
    <col min="17" max="17" width="39.28515625" customWidth="1"/>
  </cols>
  <sheetData>
    <row r="1" spans="1:17" ht="15.75">
      <c r="A1" s="220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6"/>
      <c r="P1" s="221" t="s">
        <v>0</v>
      </c>
      <c r="Q1" s="146"/>
    </row>
    <row r="2" spans="1:17" ht="2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49"/>
      <c r="P2" s="231"/>
      <c r="Q2" s="132"/>
    </row>
    <row r="3" spans="1:17" ht="15.75">
      <c r="A3" s="3"/>
      <c r="B3" s="4"/>
      <c r="C3" s="4"/>
      <c r="D3" s="213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31"/>
      <c r="P3" s="224" t="s">
        <v>1</v>
      </c>
      <c r="Q3" s="131"/>
    </row>
    <row r="4" spans="1:17" ht="18">
      <c r="A4" s="3"/>
      <c r="B4" s="6"/>
      <c r="C4" s="6"/>
      <c r="D4" s="211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31"/>
      <c r="P4" s="212"/>
      <c r="Q4" s="132"/>
    </row>
    <row r="5" spans="1:17" ht="15.75">
      <c r="A5" s="3"/>
      <c r="B5" s="4"/>
      <c r="C5" s="4"/>
      <c r="D5" s="213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31"/>
      <c r="P5" s="214" t="s">
        <v>2</v>
      </c>
      <c r="Q5" s="140"/>
    </row>
    <row r="6" spans="1:17" ht="18">
      <c r="A6" s="3"/>
      <c r="B6" s="4"/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0"/>
      <c r="P6" s="215"/>
      <c r="Q6" s="131"/>
    </row>
    <row r="7" spans="1:17" ht="15.75">
      <c r="A7" s="216" t="s">
        <v>3</v>
      </c>
      <c r="B7" s="217"/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51"/>
      <c r="Q7" s="88"/>
    </row>
    <row r="8" spans="1:17" ht="15.75">
      <c r="A8" s="181" t="s">
        <v>4</v>
      </c>
      <c r="B8" s="145"/>
      <c r="C8" s="218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6"/>
    </row>
    <row r="9" spans="1:17" ht="15.75">
      <c r="A9" s="147"/>
      <c r="B9" s="142"/>
      <c r="C9" s="7"/>
      <c r="D9" s="8"/>
      <c r="E9" s="9" t="s">
        <v>5</v>
      </c>
      <c r="F9" s="9"/>
      <c r="G9" s="8"/>
      <c r="H9" s="9" t="s">
        <v>6</v>
      </c>
      <c r="I9" s="9"/>
      <c r="J9" s="4"/>
      <c r="K9" s="8"/>
      <c r="L9" s="9" t="s">
        <v>7</v>
      </c>
      <c r="M9" s="9"/>
      <c r="N9" s="52" t="s">
        <v>8</v>
      </c>
      <c r="O9" s="9" t="s">
        <v>9</v>
      </c>
      <c r="P9" s="9"/>
      <c r="Q9" s="89"/>
    </row>
    <row r="10" spans="1:17" ht="15.75">
      <c r="A10" s="137"/>
      <c r="B10" s="138"/>
      <c r="C10" s="10"/>
      <c r="D10" s="11"/>
      <c r="E10" s="11"/>
      <c r="F10" s="12"/>
      <c r="G10" s="12"/>
      <c r="H10" s="219"/>
      <c r="I10" s="138"/>
      <c r="J10" s="11"/>
      <c r="K10" s="219"/>
      <c r="L10" s="138"/>
      <c r="M10" s="11"/>
      <c r="N10" s="11"/>
      <c r="O10" s="12"/>
      <c r="P10" s="11"/>
      <c r="Q10" s="90"/>
    </row>
    <row r="11" spans="1:17" ht="20.25">
      <c r="A11" s="181" t="s">
        <v>10</v>
      </c>
      <c r="B11" s="145"/>
      <c r="C11" s="182"/>
      <c r="D11" s="145"/>
      <c r="E11" s="145"/>
      <c r="F11" s="145"/>
      <c r="G11" s="145"/>
      <c r="H11" s="145"/>
      <c r="I11" s="145"/>
      <c r="J11" s="145"/>
      <c r="K11" s="182" t="s">
        <v>11</v>
      </c>
      <c r="L11" s="145"/>
      <c r="M11" s="145"/>
      <c r="N11" s="145"/>
      <c r="O11" s="145"/>
      <c r="P11" s="202" t="s">
        <v>12</v>
      </c>
      <c r="Q11" s="146"/>
    </row>
    <row r="12" spans="1:17" ht="20.25">
      <c r="A12" s="147"/>
      <c r="B12" s="142"/>
      <c r="C12" s="128"/>
      <c r="D12" s="125"/>
      <c r="E12" s="125"/>
      <c r="F12" s="125"/>
      <c r="G12" s="125"/>
      <c r="H12" s="125"/>
      <c r="I12" s="125"/>
      <c r="J12" s="125"/>
      <c r="K12" s="203"/>
      <c r="L12" s="142"/>
      <c r="M12" s="142"/>
      <c r="N12" s="142"/>
      <c r="O12" s="142"/>
      <c r="P12" s="230"/>
      <c r="Q12" s="131"/>
    </row>
    <row r="13" spans="1:17">
      <c r="A13" s="136" t="s">
        <v>13</v>
      </c>
      <c r="B13" s="123"/>
      <c r="C13" s="139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40"/>
    </row>
    <row r="14" spans="1:17">
      <c r="A14" s="137"/>
      <c r="B14" s="138"/>
      <c r="C14" s="133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4"/>
    </row>
    <row r="15" spans="1:17" ht="15.75">
      <c r="A15" s="206" t="s">
        <v>14</v>
      </c>
      <c r="B15" s="172"/>
      <c r="C15" s="172"/>
      <c r="D15" s="172"/>
      <c r="E15" s="172"/>
      <c r="F15" s="172"/>
      <c r="G15" s="172"/>
      <c r="H15" s="172"/>
      <c r="I15" s="172"/>
      <c r="J15" s="172"/>
      <c r="K15" s="207"/>
      <c r="L15" s="173"/>
      <c r="M15" s="207" t="s">
        <v>15</v>
      </c>
      <c r="N15" s="172"/>
      <c r="O15" s="173"/>
      <c r="P15" s="207" t="s">
        <v>16</v>
      </c>
      <c r="Q15" s="208"/>
    </row>
    <row r="16" spans="1:17" ht="15.75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53"/>
      <c r="L16" s="54"/>
      <c r="M16" s="53"/>
      <c r="N16" s="14"/>
      <c r="O16" s="55"/>
      <c r="P16" s="56"/>
      <c r="Q16" s="91"/>
    </row>
    <row r="17" spans="1:17" ht="18">
      <c r="A17" s="15"/>
      <c r="B17" s="141" t="s">
        <v>17</v>
      </c>
      <c r="C17" s="142"/>
      <c r="D17" s="142"/>
      <c r="E17" s="142"/>
      <c r="F17" s="142"/>
      <c r="G17" s="142"/>
      <c r="H17" s="142"/>
      <c r="I17" s="142"/>
      <c r="J17" s="143"/>
      <c r="K17" s="227"/>
      <c r="L17" s="143"/>
      <c r="M17" s="7"/>
      <c r="N17" s="4"/>
      <c r="O17" s="57" t="s">
        <v>18</v>
      </c>
      <c r="P17" s="58"/>
      <c r="Q17" s="92">
        <f>G27</f>
        <v>0</v>
      </c>
    </row>
    <row r="18" spans="1:17" ht="18">
      <c r="A18" s="15"/>
      <c r="B18" s="142"/>
      <c r="C18" s="142"/>
      <c r="D18" s="142"/>
      <c r="E18" s="142"/>
      <c r="F18" s="142"/>
      <c r="G18" s="142"/>
      <c r="H18" s="142"/>
      <c r="I18" s="142"/>
      <c r="J18" s="143"/>
      <c r="K18" s="59"/>
      <c r="L18" s="60"/>
      <c r="M18" s="7"/>
      <c r="N18" s="4"/>
      <c r="O18" s="61"/>
      <c r="P18" s="7"/>
      <c r="Q18" s="93"/>
    </row>
    <row r="19" spans="1:17" ht="18">
      <c r="A19" s="15"/>
      <c r="B19" s="142"/>
      <c r="C19" s="142"/>
      <c r="D19" s="142"/>
      <c r="E19" s="142"/>
      <c r="F19" s="142"/>
      <c r="G19" s="142"/>
      <c r="H19" s="142"/>
      <c r="I19" s="142"/>
      <c r="J19" s="143"/>
      <c r="K19" s="59"/>
      <c r="L19" s="60"/>
      <c r="M19" s="7"/>
      <c r="N19" s="4"/>
      <c r="O19" s="61"/>
      <c r="P19" s="62"/>
      <c r="Q19" s="93"/>
    </row>
    <row r="20" spans="1:17" ht="18">
      <c r="A20" s="15"/>
      <c r="B20" s="142"/>
      <c r="C20" s="142"/>
      <c r="D20" s="142"/>
      <c r="E20" s="142"/>
      <c r="F20" s="142"/>
      <c r="G20" s="142"/>
      <c r="H20" s="142"/>
      <c r="I20" s="142"/>
      <c r="J20" s="143"/>
      <c r="K20" s="59"/>
      <c r="L20" s="60"/>
      <c r="M20" s="7"/>
      <c r="N20" s="4"/>
      <c r="O20" s="61"/>
      <c r="P20" s="62"/>
      <c r="Q20" s="93"/>
    </row>
    <row r="21" spans="1:17" ht="18">
      <c r="A21" s="15"/>
      <c r="B21" s="16"/>
      <c r="C21" s="16"/>
      <c r="D21" s="16"/>
      <c r="E21" s="16"/>
      <c r="F21" s="16"/>
      <c r="G21" s="16"/>
      <c r="H21" s="16"/>
      <c r="I21" s="16"/>
      <c r="J21" s="63"/>
      <c r="K21" s="59"/>
      <c r="L21" s="60"/>
      <c r="M21" s="7"/>
      <c r="N21" s="4"/>
      <c r="O21" s="61"/>
      <c r="P21" s="62"/>
      <c r="Q21" s="93"/>
    </row>
    <row r="22" spans="1:17" ht="15.75">
      <c r="A22" s="17"/>
      <c r="B22" s="18"/>
      <c r="C22" s="228"/>
      <c r="D22" s="142"/>
      <c r="E22" s="19"/>
      <c r="F22" s="20"/>
      <c r="G22" s="229"/>
      <c r="H22" s="142"/>
      <c r="I22" s="142"/>
      <c r="J22" s="64"/>
      <c r="K22" s="7"/>
      <c r="L22" s="61"/>
      <c r="M22" s="7"/>
      <c r="N22" s="4"/>
      <c r="O22" s="61"/>
      <c r="P22" s="7"/>
      <c r="Q22" s="93"/>
    </row>
    <row r="23" spans="1:17" ht="15.75">
      <c r="A23" s="17"/>
      <c r="B23" s="18"/>
      <c r="C23" s="161" t="s">
        <v>19</v>
      </c>
      <c r="D23" s="142"/>
      <c r="E23" s="142"/>
      <c r="F23" s="118" t="s">
        <v>20</v>
      </c>
      <c r="G23" s="21" t="e">
        <f>#REF!</f>
        <v>#REF!</v>
      </c>
      <c r="H23" s="21"/>
      <c r="I23" s="19"/>
      <c r="J23" s="64"/>
      <c r="K23" s="4"/>
      <c r="L23" s="61"/>
      <c r="M23" s="7"/>
      <c r="N23" s="4"/>
      <c r="O23" s="61"/>
      <c r="P23" s="7"/>
      <c r="Q23" s="93"/>
    </row>
    <row r="24" spans="1:17" ht="15.75">
      <c r="A24" s="17"/>
      <c r="B24" s="18"/>
      <c r="C24" s="161" t="s">
        <v>21</v>
      </c>
      <c r="D24" s="142"/>
      <c r="E24" s="142"/>
      <c r="F24" s="118" t="s">
        <v>20</v>
      </c>
      <c r="G24" s="21" t="e">
        <f>#REF!</f>
        <v>#REF!</v>
      </c>
      <c r="H24" s="21"/>
      <c r="I24" s="19"/>
      <c r="J24" s="64"/>
      <c r="K24" s="4"/>
      <c r="L24" s="61"/>
      <c r="M24" s="7"/>
      <c r="N24" s="4"/>
      <c r="O24" s="61"/>
      <c r="P24" s="7"/>
      <c r="Q24" s="93"/>
    </row>
    <row r="25" spans="1:17" ht="15.75">
      <c r="A25" s="17"/>
      <c r="B25" s="18"/>
      <c r="C25" s="161" t="s">
        <v>22</v>
      </c>
      <c r="D25" s="142"/>
      <c r="E25" s="142"/>
      <c r="F25" s="118" t="s">
        <v>20</v>
      </c>
      <c r="G25" s="21" t="e">
        <f>#REF!</f>
        <v>#REF!</v>
      </c>
      <c r="H25" s="21"/>
      <c r="I25" s="19"/>
      <c r="J25" s="64"/>
      <c r="K25" s="4"/>
      <c r="L25" s="61"/>
      <c r="M25" s="7"/>
      <c r="N25" s="4"/>
      <c r="O25" s="61"/>
      <c r="P25" s="7"/>
      <c r="Q25" s="93"/>
    </row>
    <row r="26" spans="1:17" ht="15.75">
      <c r="A26" s="17"/>
      <c r="B26" s="18"/>
      <c r="C26" s="162" t="s">
        <v>23</v>
      </c>
      <c r="D26" s="142"/>
      <c r="E26" s="142"/>
      <c r="F26" s="118" t="s">
        <v>20</v>
      </c>
      <c r="G26" s="21" t="e">
        <f>#REF!</f>
        <v>#REF!</v>
      </c>
      <c r="H26" s="22"/>
      <c r="I26" s="65"/>
      <c r="J26" s="64"/>
      <c r="K26" s="4"/>
      <c r="L26" s="61"/>
      <c r="M26" s="7"/>
      <c r="N26" s="4"/>
      <c r="O26" s="61"/>
      <c r="P26" s="7"/>
      <c r="Q26" s="93"/>
    </row>
    <row r="27" spans="1:17" ht="15.75">
      <c r="A27" s="17"/>
      <c r="B27" s="18"/>
      <c r="C27" s="23"/>
      <c r="D27" s="23"/>
      <c r="E27" s="22"/>
      <c r="F27" s="20"/>
      <c r="G27" s="24"/>
      <c r="H27" s="25"/>
      <c r="I27" s="25"/>
      <c r="J27" s="64"/>
      <c r="K27" s="4"/>
      <c r="L27" s="61"/>
      <c r="M27" s="7"/>
      <c r="N27" s="4"/>
      <c r="O27" s="61"/>
      <c r="P27" s="7"/>
      <c r="Q27" s="93"/>
    </row>
    <row r="28" spans="1:17" ht="15.75">
      <c r="A28" s="17"/>
      <c r="B28" s="26"/>
      <c r="C28" s="18"/>
      <c r="D28" s="18"/>
      <c r="E28" s="18"/>
      <c r="F28" s="18"/>
      <c r="G28" s="18"/>
      <c r="H28" s="27"/>
      <c r="I28" s="27"/>
      <c r="J28" s="64"/>
      <c r="K28" s="9"/>
      <c r="L28" s="60"/>
      <c r="M28" s="59"/>
      <c r="N28" s="9"/>
      <c r="O28" s="60"/>
      <c r="P28" s="66"/>
      <c r="Q28" s="93"/>
    </row>
    <row r="29" spans="1:17" ht="15.75">
      <c r="A29" s="17"/>
      <c r="B29" s="26"/>
      <c r="C29" s="119" t="s">
        <v>24</v>
      </c>
      <c r="D29" s="28"/>
      <c r="E29" s="22"/>
      <c r="F29" s="29"/>
      <c r="G29" s="27"/>
      <c r="H29" s="27"/>
      <c r="I29" s="27"/>
      <c r="J29" s="64"/>
      <c r="K29" s="9"/>
      <c r="L29" s="60"/>
      <c r="M29" s="59"/>
      <c r="N29" s="9"/>
      <c r="O29" s="60"/>
      <c r="P29" s="66"/>
      <c r="Q29" s="93"/>
    </row>
    <row r="30" spans="1:17" ht="15.75">
      <c r="A30" s="17"/>
      <c r="B30" s="26"/>
      <c r="C30" s="28" t="e">
        <f>G23</f>
        <v>#REF!</v>
      </c>
      <c r="D30" s="28"/>
      <c r="E30" s="22"/>
      <c r="F30" s="120" t="s">
        <v>25</v>
      </c>
      <c r="G30" s="27" t="e">
        <f>C30*0.05</f>
        <v>#REF!</v>
      </c>
      <c r="H30" s="29"/>
      <c r="I30" s="27"/>
      <c r="J30" s="64"/>
      <c r="K30" s="9"/>
      <c r="L30" s="60"/>
      <c r="M30" s="59"/>
      <c r="N30" s="9"/>
      <c r="O30" s="60"/>
      <c r="P30" s="66"/>
      <c r="Q30" s="93" t="e">
        <f>G30</f>
        <v>#REF!</v>
      </c>
    </row>
    <row r="31" spans="1:17" ht="15.75">
      <c r="A31" s="17"/>
      <c r="B31" s="26"/>
      <c r="C31" s="28"/>
      <c r="D31" s="28"/>
      <c r="E31" s="22"/>
      <c r="F31" s="29"/>
      <c r="G31" s="29"/>
      <c r="H31" s="29"/>
      <c r="I31" s="27"/>
      <c r="J31" s="64"/>
      <c r="K31" s="9"/>
      <c r="L31" s="60"/>
      <c r="M31" s="59"/>
      <c r="N31" s="9"/>
      <c r="O31" s="60"/>
      <c r="P31" s="66"/>
      <c r="Q31" s="93"/>
    </row>
    <row r="32" spans="1:17" ht="15.75">
      <c r="A32" s="17"/>
      <c r="B32" s="26"/>
      <c r="C32" s="28"/>
      <c r="D32" s="28"/>
      <c r="E32" s="30"/>
      <c r="F32" s="29"/>
      <c r="G32" s="27"/>
      <c r="H32" s="27"/>
      <c r="I32" s="27"/>
      <c r="J32" s="64"/>
      <c r="K32" s="9"/>
      <c r="L32" s="60"/>
      <c r="M32" s="59"/>
      <c r="N32" s="9"/>
      <c r="O32" s="60"/>
      <c r="P32" s="66"/>
      <c r="Q32" s="93"/>
    </row>
    <row r="33" spans="1:17" ht="15.75">
      <c r="A33" s="17"/>
      <c r="B33" s="26"/>
      <c r="C33" s="28"/>
      <c r="D33" s="28"/>
      <c r="E33" s="30"/>
      <c r="F33" s="29"/>
      <c r="G33" s="27"/>
      <c r="H33" s="27"/>
      <c r="I33" s="27"/>
      <c r="J33" s="64"/>
      <c r="K33" s="9"/>
      <c r="L33" s="60"/>
      <c r="M33" s="59"/>
      <c r="N33" s="9"/>
      <c r="O33" s="60"/>
      <c r="P33" s="66"/>
      <c r="Q33" s="93"/>
    </row>
    <row r="34" spans="1:17" ht="15.75">
      <c r="A34" s="17"/>
      <c r="B34" s="121" t="s">
        <v>26</v>
      </c>
      <c r="C34" s="18"/>
      <c r="D34" s="28"/>
      <c r="E34" s="30"/>
      <c r="F34" s="29"/>
      <c r="G34" s="27"/>
      <c r="H34" s="27"/>
      <c r="I34" s="27"/>
      <c r="J34" s="64"/>
      <c r="K34" s="9"/>
      <c r="L34" s="60"/>
      <c r="M34" s="59"/>
      <c r="N34" s="9"/>
      <c r="O34" s="60"/>
      <c r="P34" s="66"/>
      <c r="Q34" s="93"/>
    </row>
    <row r="35" spans="1:17" ht="15.75">
      <c r="A35" s="17"/>
      <c r="B35" s="26"/>
      <c r="C35" s="31" t="s">
        <v>27</v>
      </c>
      <c r="D35" s="135"/>
      <c r="E35" s="135"/>
      <c r="F35" s="29"/>
      <c r="G35" s="27"/>
      <c r="H35" s="27"/>
      <c r="I35" s="27"/>
      <c r="J35" s="64"/>
      <c r="K35" s="9"/>
      <c r="L35" s="60"/>
      <c r="M35" s="59"/>
      <c r="N35" s="9"/>
      <c r="O35" s="60"/>
      <c r="P35" s="66"/>
      <c r="Q35" s="93"/>
    </row>
    <row r="36" spans="1:17" ht="15.75">
      <c r="A36" s="17"/>
      <c r="B36" s="26"/>
      <c r="C36" s="31" t="s">
        <v>28</v>
      </c>
      <c r="D36" s="135"/>
      <c r="E36" s="135"/>
      <c r="F36" s="29"/>
      <c r="G36" s="27"/>
      <c r="H36" s="27"/>
      <c r="I36" s="27"/>
      <c r="J36" s="64"/>
      <c r="K36" s="9"/>
      <c r="L36" s="60"/>
      <c r="M36" s="59"/>
      <c r="N36" s="9"/>
      <c r="O36" s="60"/>
      <c r="P36" s="66"/>
      <c r="Q36" s="93"/>
    </row>
    <row r="37" spans="1:17" ht="15.75">
      <c r="A37" s="17"/>
      <c r="B37" s="18"/>
      <c r="C37" s="31" t="s">
        <v>29</v>
      </c>
      <c r="D37" s="135"/>
      <c r="E37" s="135"/>
      <c r="F37" s="18"/>
      <c r="G37" s="18"/>
      <c r="H37" s="18"/>
      <c r="I37" s="18"/>
      <c r="J37" s="67"/>
      <c r="K37" s="68"/>
      <c r="L37" s="69"/>
      <c r="M37" s="70"/>
      <c r="N37" s="68"/>
      <c r="O37" s="69"/>
      <c r="P37" s="71"/>
      <c r="Q37" s="94"/>
    </row>
    <row r="38" spans="1:17" ht="15.75">
      <c r="A38" s="17"/>
      <c r="B38" s="9"/>
      <c r="C38" s="9"/>
      <c r="D38" s="9"/>
      <c r="E38" s="9"/>
      <c r="F38" s="32"/>
      <c r="G38" s="33"/>
      <c r="H38" s="33"/>
      <c r="I38" s="33"/>
      <c r="J38" s="33"/>
      <c r="K38" s="70"/>
      <c r="L38" s="69"/>
      <c r="M38" s="70"/>
      <c r="N38" s="68"/>
      <c r="O38" s="69"/>
      <c r="P38" s="71"/>
      <c r="Q38" s="95"/>
    </row>
    <row r="39" spans="1:17" ht="15.75">
      <c r="A39" s="163" t="s">
        <v>30</v>
      </c>
      <c r="B39" s="138"/>
      <c r="C39" s="138"/>
      <c r="D39" s="138"/>
      <c r="E39" s="138"/>
      <c r="F39" s="138"/>
      <c r="G39" s="138"/>
      <c r="H39" s="138"/>
      <c r="I39" s="138"/>
      <c r="J39" s="138"/>
      <c r="K39" s="72"/>
      <c r="L39" s="73"/>
      <c r="M39" s="72"/>
      <c r="N39" s="12"/>
      <c r="O39" s="74" t="s">
        <v>18</v>
      </c>
      <c r="P39" s="75"/>
      <c r="Q39" s="96" t="e">
        <f>Q17-Q30</f>
        <v>#REF!</v>
      </c>
    </row>
    <row r="40" spans="1:17" ht="15.75">
      <c r="A40" s="34" t="s">
        <v>31</v>
      </c>
      <c r="B40" s="164" t="s">
        <v>32</v>
      </c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31"/>
    </row>
    <row r="41" spans="1:17" ht="15.75">
      <c r="A41" s="35"/>
      <c r="B41" s="5"/>
      <c r="C41" s="4" t="s">
        <v>33</v>
      </c>
      <c r="D41" s="4"/>
      <c r="E41" s="4"/>
      <c r="F41" s="4"/>
      <c r="G41" s="4"/>
      <c r="H41" s="4"/>
      <c r="I41" s="4"/>
      <c r="J41" s="4"/>
      <c r="K41" s="5"/>
      <c r="L41" s="76"/>
      <c r="M41" s="76"/>
      <c r="N41" s="9"/>
      <c r="O41" s="76"/>
      <c r="P41" s="77"/>
      <c r="Q41" s="49"/>
    </row>
    <row r="42" spans="1:17" ht="15.75">
      <c r="A42" s="35"/>
      <c r="B42" s="5"/>
      <c r="C42" s="4"/>
      <c r="D42" s="4"/>
      <c r="E42" s="4"/>
      <c r="F42" s="4"/>
      <c r="G42" s="4"/>
      <c r="H42" s="4"/>
      <c r="I42" s="4"/>
      <c r="J42" s="4"/>
      <c r="K42" s="5"/>
      <c r="L42" s="76"/>
      <c r="M42" s="76"/>
      <c r="N42" s="9"/>
      <c r="O42" s="76"/>
      <c r="P42" s="77"/>
      <c r="Q42" s="49"/>
    </row>
    <row r="43" spans="1:17" ht="15.75">
      <c r="A43" s="35"/>
      <c r="B43" s="5"/>
      <c r="C43" s="4"/>
      <c r="D43" s="4"/>
      <c r="E43" s="4"/>
      <c r="F43" s="4"/>
      <c r="G43" s="4"/>
      <c r="H43" s="4"/>
      <c r="I43" s="4"/>
      <c r="J43" s="4"/>
      <c r="K43" s="5"/>
      <c r="L43" s="76"/>
      <c r="M43" s="76"/>
      <c r="N43" s="9"/>
      <c r="O43" s="76"/>
      <c r="P43" s="77"/>
      <c r="Q43" s="49"/>
    </row>
    <row r="44" spans="1:17" ht="15.75">
      <c r="A44" s="35"/>
      <c r="B44" s="5"/>
      <c r="C44" s="4"/>
      <c r="D44" s="4"/>
      <c r="E44" s="4"/>
      <c r="F44" s="4"/>
      <c r="G44" s="4"/>
      <c r="H44" s="4"/>
      <c r="I44" s="4"/>
      <c r="J44" s="4"/>
      <c r="K44" s="5"/>
      <c r="L44" s="76"/>
      <c r="M44" s="76"/>
      <c r="N44" s="9"/>
      <c r="O44" s="76"/>
      <c r="P44" s="77"/>
      <c r="Q44" s="49"/>
    </row>
    <row r="45" spans="1:17" ht="20.25">
      <c r="A45" s="165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31"/>
    </row>
    <row r="46" spans="1:17" ht="20.25">
      <c r="A46" s="166" t="s">
        <v>34</v>
      </c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31"/>
    </row>
    <row r="47" spans="1:17" ht="15.75">
      <c r="A47" s="36" t="s">
        <v>35</v>
      </c>
      <c r="B47" s="37" t="s">
        <v>36</v>
      </c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97"/>
    </row>
    <row r="48" spans="1:17" ht="15.75">
      <c r="A48" s="167" t="s">
        <v>37</v>
      </c>
      <c r="B48" s="168"/>
      <c r="C48" s="168"/>
      <c r="D48" s="168"/>
      <c r="E48" s="168"/>
      <c r="F48" s="168"/>
      <c r="G48" s="168"/>
      <c r="H48" s="168"/>
      <c r="I48" s="168"/>
      <c r="J48" s="168"/>
      <c r="K48" s="169" t="s">
        <v>38</v>
      </c>
      <c r="L48" s="168"/>
      <c r="M48" s="170"/>
      <c r="N48" s="78"/>
      <c r="O48" s="79"/>
      <c r="P48" s="80" t="s">
        <v>39</v>
      </c>
      <c r="Q48" s="98" t="s">
        <v>40</v>
      </c>
    </row>
    <row r="49" spans="1:17" ht="18">
      <c r="A49" s="39"/>
      <c r="B49" s="192" t="s">
        <v>41</v>
      </c>
      <c r="C49" s="142"/>
      <c r="D49" s="142"/>
      <c r="E49" s="142"/>
      <c r="F49" s="142"/>
      <c r="G49" s="142"/>
      <c r="H49" s="142"/>
      <c r="I49" s="142"/>
      <c r="J49" s="143"/>
      <c r="K49" s="225" t="s">
        <v>42</v>
      </c>
      <c r="L49" s="142"/>
      <c r="M49" s="143"/>
      <c r="N49" s="226" t="e">
        <f>Q39</f>
        <v>#REF!</v>
      </c>
      <c r="O49" s="123"/>
      <c r="P49" s="127"/>
      <c r="Q49" s="99"/>
    </row>
    <row r="50" spans="1:17" ht="18">
      <c r="A50" s="39"/>
      <c r="B50" s="40"/>
      <c r="C50" s="40"/>
      <c r="D50" s="40"/>
      <c r="E50" s="40"/>
      <c r="F50" s="40"/>
      <c r="G50" s="40"/>
      <c r="H50" s="40"/>
      <c r="I50" s="40"/>
      <c r="J50" s="40"/>
      <c r="K50" s="81"/>
      <c r="L50" s="82"/>
      <c r="M50" s="83"/>
      <c r="N50" s="82"/>
      <c r="O50" s="82"/>
      <c r="P50" s="84"/>
      <c r="Q50" s="99"/>
    </row>
    <row r="51" spans="1:17" ht="18">
      <c r="A51" s="41"/>
      <c r="B51" s="156" t="s">
        <v>43</v>
      </c>
      <c r="C51" s="138"/>
      <c r="D51" s="138"/>
      <c r="E51" s="138"/>
      <c r="F51" s="138"/>
      <c r="G51" s="138"/>
      <c r="H51" s="138"/>
      <c r="I51" s="138"/>
      <c r="J51" s="138"/>
      <c r="K51" s="157" t="s">
        <v>42</v>
      </c>
      <c r="L51" s="138"/>
      <c r="M51" s="158"/>
      <c r="N51" s="85"/>
      <c r="O51" s="85"/>
      <c r="P51" s="86"/>
      <c r="Q51" s="100" t="e">
        <f>N49</f>
        <v>#REF!</v>
      </c>
    </row>
    <row r="52" spans="1:17" ht="15.75">
      <c r="A52" s="42" t="s">
        <v>44</v>
      </c>
      <c r="B52" s="159" t="s">
        <v>45</v>
      </c>
      <c r="C52" s="138"/>
      <c r="D52" s="138"/>
      <c r="E52" s="138"/>
      <c r="F52" s="138"/>
      <c r="G52" s="138"/>
      <c r="H52" s="138"/>
      <c r="I52" s="138"/>
      <c r="J52" s="138"/>
      <c r="K52" s="87" t="s">
        <v>46</v>
      </c>
      <c r="L52" s="160" t="s">
        <v>47</v>
      </c>
      <c r="M52" s="138"/>
      <c r="N52" s="138"/>
      <c r="O52" s="138"/>
      <c r="P52" s="138"/>
      <c r="Q52" s="134"/>
    </row>
    <row r="53" spans="1:17" ht="18">
      <c r="A53" s="43"/>
      <c r="B53" s="44"/>
      <c r="C53" s="45" t="s">
        <v>48</v>
      </c>
      <c r="D53" s="45"/>
      <c r="E53" s="45"/>
      <c r="F53" s="45"/>
      <c r="G53" s="45"/>
      <c r="H53" s="45"/>
      <c r="I53" s="45"/>
      <c r="J53" s="45"/>
      <c r="K53" s="144" t="s">
        <v>49</v>
      </c>
      <c r="L53" s="145"/>
      <c r="M53" s="145"/>
      <c r="N53" s="145"/>
      <c r="O53" s="145"/>
      <c r="P53" s="145"/>
      <c r="Q53" s="146"/>
    </row>
    <row r="54" spans="1:17" ht="18">
      <c r="A54" s="17"/>
      <c r="B54" s="8"/>
      <c r="C54" s="46" t="s">
        <v>50</v>
      </c>
      <c r="D54" s="46"/>
      <c r="E54" s="46"/>
      <c r="F54" s="46"/>
      <c r="G54" s="46"/>
      <c r="H54" s="46"/>
      <c r="I54" s="46"/>
      <c r="J54" s="46"/>
      <c r="K54" s="147"/>
      <c r="L54" s="142"/>
      <c r="M54" s="142"/>
      <c r="N54" s="142"/>
      <c r="O54" s="142"/>
      <c r="P54" s="142"/>
      <c r="Q54" s="131"/>
    </row>
    <row r="55" spans="1:17" ht="18">
      <c r="A55" s="35"/>
      <c r="B55" s="8"/>
      <c r="C55" s="46" t="s">
        <v>51</v>
      </c>
      <c r="D55" s="46"/>
      <c r="E55" s="46"/>
      <c r="F55" s="46"/>
      <c r="G55" s="46"/>
      <c r="H55" s="46"/>
      <c r="I55" s="46"/>
      <c r="J55" s="46"/>
      <c r="K55" s="147"/>
      <c r="L55" s="142"/>
      <c r="M55" s="142"/>
      <c r="N55" s="142"/>
      <c r="O55" s="142"/>
      <c r="P55" s="142"/>
      <c r="Q55" s="131"/>
    </row>
    <row r="56" spans="1:17" ht="18">
      <c r="A56" s="47"/>
      <c r="B56" s="12"/>
      <c r="C56" s="48" t="s">
        <v>52</v>
      </c>
      <c r="D56" s="48"/>
      <c r="E56" s="48"/>
      <c r="F56" s="48"/>
      <c r="G56" s="48"/>
      <c r="H56" s="48"/>
      <c r="I56" s="48"/>
      <c r="J56" s="48"/>
      <c r="K56" s="137"/>
      <c r="L56" s="138"/>
      <c r="M56" s="138"/>
      <c r="N56" s="138"/>
      <c r="O56" s="138"/>
      <c r="P56" s="138"/>
      <c r="Q56" s="134"/>
    </row>
    <row r="57" spans="1:17">
      <c r="A57" s="148" t="s">
        <v>53</v>
      </c>
      <c r="B57" s="145"/>
      <c r="C57" s="150"/>
      <c r="D57" s="145"/>
      <c r="E57" s="145"/>
      <c r="F57" s="145"/>
      <c r="G57" s="145"/>
      <c r="H57" s="145"/>
      <c r="I57" s="145"/>
      <c r="J57" s="145"/>
      <c r="K57" s="148" t="s">
        <v>53</v>
      </c>
      <c r="L57" s="149"/>
      <c r="M57" s="151"/>
      <c r="N57" s="145"/>
      <c r="O57" s="145"/>
      <c r="P57" s="145"/>
      <c r="Q57" s="146"/>
    </row>
    <row r="58" spans="1:17">
      <c r="A58" s="124"/>
      <c r="B58" s="125"/>
      <c r="C58" s="128"/>
      <c r="D58" s="125"/>
      <c r="E58" s="125"/>
      <c r="F58" s="125"/>
      <c r="G58" s="125"/>
      <c r="H58" s="125"/>
      <c r="I58" s="125"/>
      <c r="J58" s="125"/>
      <c r="K58" s="124"/>
      <c r="L58" s="129"/>
      <c r="M58" s="125"/>
      <c r="N58" s="125"/>
      <c r="O58" s="125"/>
      <c r="P58" s="125"/>
      <c r="Q58" s="132"/>
    </row>
    <row r="59" spans="1:17">
      <c r="A59" s="152" t="s">
        <v>54</v>
      </c>
      <c r="B59" s="123"/>
      <c r="C59" s="154"/>
      <c r="D59" s="123"/>
      <c r="E59" s="123"/>
      <c r="F59" s="123"/>
      <c r="G59" s="123"/>
      <c r="H59" s="123"/>
      <c r="I59" s="123"/>
      <c r="J59" s="123"/>
      <c r="K59" s="153" t="s">
        <v>54</v>
      </c>
      <c r="L59" s="127"/>
      <c r="M59" s="155"/>
      <c r="N59" s="123"/>
      <c r="O59" s="123"/>
      <c r="P59" s="123"/>
      <c r="Q59" s="140"/>
    </row>
    <row r="60" spans="1:17">
      <c r="A60" s="124"/>
      <c r="B60" s="125"/>
      <c r="C60" s="128"/>
      <c r="D60" s="125"/>
      <c r="E60" s="125"/>
      <c r="F60" s="125"/>
      <c r="G60" s="125"/>
      <c r="H60" s="125"/>
      <c r="I60" s="125"/>
      <c r="J60" s="125"/>
      <c r="K60" s="124"/>
      <c r="L60" s="129"/>
      <c r="M60" s="125"/>
      <c r="N60" s="125"/>
      <c r="O60" s="125"/>
      <c r="P60" s="125"/>
      <c r="Q60" s="132"/>
    </row>
    <row r="61" spans="1:17">
      <c r="A61" s="152" t="s">
        <v>55</v>
      </c>
      <c r="B61" s="123"/>
      <c r="C61" s="196" t="s">
        <v>56</v>
      </c>
      <c r="D61" s="123"/>
      <c r="E61" s="123"/>
      <c r="F61" s="123"/>
      <c r="G61" s="123"/>
      <c r="H61" s="123"/>
      <c r="I61" s="123"/>
      <c r="J61" s="140"/>
      <c r="K61" s="153" t="s">
        <v>55</v>
      </c>
      <c r="L61" s="127"/>
      <c r="M61" s="196" t="s">
        <v>57</v>
      </c>
      <c r="N61" s="123"/>
      <c r="O61" s="123"/>
      <c r="P61" s="123"/>
      <c r="Q61" s="140"/>
    </row>
    <row r="62" spans="1:17">
      <c r="A62" s="147"/>
      <c r="B62" s="142"/>
      <c r="C62" s="197" t="s">
        <v>58</v>
      </c>
      <c r="D62" s="125"/>
      <c r="E62" s="125"/>
      <c r="F62" s="125"/>
      <c r="G62" s="125"/>
      <c r="H62" s="125"/>
      <c r="I62" s="125"/>
      <c r="J62" s="125"/>
      <c r="K62" s="147"/>
      <c r="L62" s="143"/>
      <c r="M62" s="198" t="s">
        <v>59</v>
      </c>
      <c r="N62" s="125"/>
      <c r="O62" s="125"/>
      <c r="P62" s="125"/>
      <c r="Q62" s="132"/>
    </row>
    <row r="63" spans="1:17">
      <c r="A63" s="189" t="s">
        <v>60</v>
      </c>
      <c r="B63" s="123"/>
      <c r="C63" s="190"/>
      <c r="D63" s="123"/>
      <c r="E63" s="123"/>
      <c r="F63" s="123"/>
      <c r="G63" s="123"/>
      <c r="H63" s="123"/>
      <c r="I63" s="123"/>
      <c r="J63" s="123"/>
      <c r="K63" s="189" t="s">
        <v>60</v>
      </c>
      <c r="L63" s="127"/>
      <c r="M63" s="191"/>
      <c r="N63" s="123"/>
      <c r="O63" s="123"/>
      <c r="P63" s="123"/>
      <c r="Q63" s="140"/>
    </row>
    <row r="64" spans="1:17">
      <c r="A64" s="137"/>
      <c r="B64" s="138"/>
      <c r="C64" s="133"/>
      <c r="D64" s="138"/>
      <c r="E64" s="138"/>
      <c r="F64" s="138"/>
      <c r="G64" s="138"/>
      <c r="H64" s="138"/>
      <c r="I64" s="138"/>
      <c r="J64" s="138"/>
      <c r="K64" s="137"/>
      <c r="L64" s="158"/>
      <c r="M64" s="138"/>
      <c r="N64" s="138"/>
      <c r="O64" s="138"/>
      <c r="P64" s="138"/>
      <c r="Q64" s="134"/>
    </row>
    <row r="65" spans="1:17" ht="15.75">
      <c r="A65" s="36" t="s">
        <v>61</v>
      </c>
      <c r="B65" s="171" t="s">
        <v>62</v>
      </c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3"/>
      <c r="P65" s="111" t="s">
        <v>63</v>
      </c>
      <c r="Q65" s="114"/>
    </row>
    <row r="66" spans="1:17">
      <c r="A66" s="122" t="s">
        <v>64</v>
      </c>
      <c r="B66" s="123"/>
      <c r="C66" s="126"/>
      <c r="D66" s="123"/>
      <c r="E66" s="123"/>
      <c r="F66" s="123"/>
      <c r="G66" s="123"/>
      <c r="H66" s="123"/>
      <c r="I66" s="127"/>
      <c r="J66" s="180" t="s">
        <v>65</v>
      </c>
      <c r="K66" s="174" t="s">
        <v>66</v>
      </c>
      <c r="L66" s="123"/>
      <c r="M66" s="123"/>
      <c r="N66" s="123"/>
      <c r="O66" s="127"/>
      <c r="P66" s="130" t="s">
        <v>67</v>
      </c>
      <c r="Q66" s="131"/>
    </row>
    <row r="67" spans="1:17" ht="18">
      <c r="A67" s="124"/>
      <c r="B67" s="125"/>
      <c r="C67" s="128"/>
      <c r="D67" s="125"/>
      <c r="E67" s="125"/>
      <c r="F67" s="125"/>
      <c r="G67" s="125"/>
      <c r="H67" s="125"/>
      <c r="I67" s="129"/>
      <c r="J67" s="128"/>
      <c r="K67" s="175"/>
      <c r="L67" s="125"/>
      <c r="M67" s="125"/>
      <c r="N67" s="125"/>
      <c r="O67" s="129"/>
      <c r="P67" s="128"/>
      <c r="Q67" s="132"/>
    </row>
    <row r="68" spans="1:17" ht="15.75">
      <c r="A68" s="122" t="s">
        <v>68</v>
      </c>
      <c r="B68" s="123"/>
      <c r="C68" s="126"/>
      <c r="D68" s="123"/>
      <c r="E68" s="123"/>
      <c r="F68" s="123"/>
      <c r="G68" s="123"/>
      <c r="H68" s="123"/>
      <c r="I68" s="127"/>
      <c r="J68" s="180" t="s">
        <v>65</v>
      </c>
      <c r="K68" s="174" t="s">
        <v>69</v>
      </c>
      <c r="L68" s="123"/>
      <c r="M68" s="123"/>
      <c r="N68" s="123"/>
      <c r="O68" s="127"/>
      <c r="P68" s="14" t="s">
        <v>60</v>
      </c>
      <c r="Q68" s="115"/>
    </row>
    <row r="69" spans="1:17" ht="15.75">
      <c r="A69" s="124"/>
      <c r="B69" s="125"/>
      <c r="C69" s="128"/>
      <c r="D69" s="125"/>
      <c r="E69" s="125"/>
      <c r="F69" s="125"/>
      <c r="G69" s="125"/>
      <c r="H69" s="125"/>
      <c r="I69" s="129"/>
      <c r="J69" s="128"/>
      <c r="K69" s="176"/>
      <c r="L69" s="125"/>
      <c r="M69" s="125"/>
      <c r="N69" s="125"/>
      <c r="O69" s="129"/>
      <c r="P69" s="130" t="s">
        <v>67</v>
      </c>
      <c r="Q69" s="131"/>
    </row>
    <row r="70" spans="1:17">
      <c r="A70" s="177" t="s">
        <v>70</v>
      </c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9"/>
      <c r="P70" s="133"/>
      <c r="Q70" s="134"/>
    </row>
    <row r="71" spans="1:17" ht="15.75">
      <c r="A71" s="10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5"/>
      <c r="Q71" s="5"/>
    </row>
    <row r="72" spans="1:17" ht="15.75">
      <c r="A72" s="10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5"/>
      <c r="Q72" s="5"/>
    </row>
    <row r="73" spans="1:17" ht="15.75">
      <c r="A73" s="10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5"/>
      <c r="Q73" s="5"/>
    </row>
    <row r="74" spans="1:17" ht="15.75">
      <c r="A74" s="10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5"/>
      <c r="Q74" s="5"/>
    </row>
    <row r="75" spans="1:17" ht="15.75">
      <c r="A75" s="102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103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</row>
    <row r="77" spans="1:17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</row>
    <row r="78" spans="1:17">
      <c r="A78" s="105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</row>
    <row r="79" spans="1:17">
      <c r="A79" s="106"/>
      <c r="B79" s="107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</row>
    <row r="80" spans="1:17">
      <c r="A80" s="106"/>
      <c r="B80" s="107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</row>
    <row r="81" spans="1:17">
      <c r="A81" s="106"/>
      <c r="B81" s="107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</row>
    <row r="82" spans="1:17">
      <c r="A82" s="108"/>
      <c r="B82" s="107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</row>
    <row r="83" spans="1:17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</row>
    <row r="84" spans="1:17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</row>
    <row r="85" spans="1:17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</row>
    <row r="86" spans="1:17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</row>
    <row r="87" spans="1:1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</row>
    <row r="88" spans="1:17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</row>
    <row r="89" spans="1:17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</row>
    <row r="91" spans="1:17" ht="15.75">
      <c r="A91" s="220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6"/>
      <c r="P91" s="221" t="s">
        <v>71</v>
      </c>
      <c r="Q91" s="146"/>
    </row>
    <row r="92" spans="1:17" ht="18.7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49"/>
      <c r="P92" s="222"/>
      <c r="Q92" s="223"/>
    </row>
    <row r="93" spans="1:17" ht="15.75">
      <c r="A93" s="3"/>
      <c r="B93" s="4"/>
      <c r="C93" s="4"/>
      <c r="D93" s="213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31"/>
      <c r="P93" s="224" t="s">
        <v>72</v>
      </c>
      <c r="Q93" s="131"/>
    </row>
    <row r="94" spans="1:17" ht="18">
      <c r="A94" s="3"/>
      <c r="B94" s="6"/>
      <c r="C94" s="6"/>
      <c r="D94" s="211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31"/>
      <c r="P94" s="212"/>
      <c r="Q94" s="132"/>
    </row>
    <row r="95" spans="1:17" ht="15.75">
      <c r="A95" s="3"/>
      <c r="B95" s="4"/>
      <c r="C95" s="4"/>
      <c r="D95" s="213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31"/>
      <c r="P95" s="214" t="s">
        <v>2</v>
      </c>
      <c r="Q95" s="140"/>
    </row>
    <row r="96" spans="1:17" ht="18">
      <c r="A96" s="3"/>
      <c r="B96" s="4"/>
      <c r="C96" s="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0"/>
      <c r="P96" s="215"/>
      <c r="Q96" s="131"/>
    </row>
    <row r="97" spans="1:17" ht="15.75">
      <c r="A97" s="216" t="s">
        <v>3</v>
      </c>
      <c r="B97" s="217"/>
      <c r="C97" s="217"/>
      <c r="D97" s="217"/>
      <c r="E97" s="217"/>
      <c r="F97" s="217"/>
      <c r="G97" s="217"/>
      <c r="H97" s="217"/>
      <c r="I97" s="217"/>
      <c r="J97" s="217"/>
      <c r="K97" s="217"/>
      <c r="L97" s="217"/>
      <c r="M97" s="217"/>
      <c r="N97" s="217"/>
      <c r="O97" s="217"/>
      <c r="P97" s="51"/>
      <c r="Q97" s="88"/>
    </row>
    <row r="98" spans="1:17" ht="15.75">
      <c r="A98" s="181" t="s">
        <v>4</v>
      </c>
      <c r="B98" s="145"/>
      <c r="C98" s="218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6"/>
    </row>
    <row r="99" spans="1:17" ht="15.75">
      <c r="A99" s="147"/>
      <c r="B99" s="142"/>
      <c r="C99" s="7"/>
      <c r="D99" s="8"/>
      <c r="E99" s="9" t="s">
        <v>5</v>
      </c>
      <c r="F99" s="9"/>
      <c r="G99" s="8"/>
      <c r="H99" s="9" t="s">
        <v>6</v>
      </c>
      <c r="I99" s="9"/>
      <c r="J99" s="4"/>
      <c r="K99" s="8"/>
      <c r="L99" s="9" t="s">
        <v>7</v>
      </c>
      <c r="M99" s="9"/>
      <c r="N99" s="52" t="s">
        <v>8</v>
      </c>
      <c r="O99" s="9" t="s">
        <v>9</v>
      </c>
      <c r="P99" s="9"/>
      <c r="Q99" s="89"/>
    </row>
    <row r="100" spans="1:17" ht="15.75">
      <c r="A100" s="137"/>
      <c r="B100" s="138"/>
      <c r="C100" s="10"/>
      <c r="D100" s="11"/>
      <c r="E100" s="11"/>
      <c r="F100" s="12"/>
      <c r="G100" s="12"/>
      <c r="H100" s="219"/>
      <c r="I100" s="138"/>
      <c r="J100" s="11"/>
      <c r="K100" s="219"/>
      <c r="L100" s="138"/>
      <c r="M100" s="11"/>
      <c r="N100" s="11"/>
      <c r="O100" s="12"/>
      <c r="P100" s="11"/>
      <c r="Q100" s="90"/>
    </row>
    <row r="101" spans="1:17" ht="20.25">
      <c r="A101" s="181" t="s">
        <v>10</v>
      </c>
      <c r="B101" s="145"/>
      <c r="C101" s="182" t="s">
        <v>73</v>
      </c>
      <c r="D101" s="145"/>
      <c r="E101" s="145"/>
      <c r="F101" s="145"/>
      <c r="G101" s="145"/>
      <c r="H101" s="145"/>
      <c r="I101" s="145"/>
      <c r="J101" s="145"/>
      <c r="K101" s="182" t="s">
        <v>11</v>
      </c>
      <c r="L101" s="145"/>
      <c r="M101" s="145"/>
      <c r="N101" s="145"/>
      <c r="O101" s="145"/>
      <c r="P101" s="202" t="s">
        <v>12</v>
      </c>
      <c r="Q101" s="146"/>
    </row>
    <row r="102" spans="1:17" ht="21">
      <c r="A102" s="147"/>
      <c r="B102" s="142"/>
      <c r="C102" s="128"/>
      <c r="D102" s="125"/>
      <c r="E102" s="125"/>
      <c r="F102" s="125"/>
      <c r="G102" s="125"/>
      <c r="H102" s="125"/>
      <c r="I102" s="125"/>
      <c r="J102" s="125"/>
      <c r="K102" s="203"/>
      <c r="L102" s="142"/>
      <c r="M102" s="142"/>
      <c r="N102" s="142"/>
      <c r="O102" s="142"/>
      <c r="P102" s="204"/>
      <c r="Q102" s="205"/>
    </row>
    <row r="103" spans="1:17">
      <c r="A103" s="136" t="s">
        <v>13</v>
      </c>
      <c r="B103" s="123"/>
      <c r="C103" s="139" t="s">
        <v>74</v>
      </c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40"/>
    </row>
    <row r="104" spans="1:17">
      <c r="A104" s="137"/>
      <c r="B104" s="138"/>
      <c r="C104" s="133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4"/>
    </row>
    <row r="105" spans="1:17" ht="15.75">
      <c r="A105" s="206" t="s">
        <v>14</v>
      </c>
      <c r="B105" s="172"/>
      <c r="C105" s="172"/>
      <c r="D105" s="172"/>
      <c r="E105" s="172"/>
      <c r="F105" s="172"/>
      <c r="G105" s="172"/>
      <c r="H105" s="172"/>
      <c r="I105" s="172"/>
      <c r="J105" s="172"/>
      <c r="K105" s="207"/>
      <c r="L105" s="173"/>
      <c r="M105" s="207" t="s">
        <v>15</v>
      </c>
      <c r="N105" s="172"/>
      <c r="O105" s="173"/>
      <c r="P105" s="207" t="s">
        <v>16</v>
      </c>
      <c r="Q105" s="208"/>
    </row>
    <row r="106" spans="1:17" ht="15.75">
      <c r="A106" s="183"/>
      <c r="B106" s="184"/>
      <c r="C106" s="184"/>
      <c r="D106" s="184"/>
      <c r="E106" s="184"/>
      <c r="F106" s="184"/>
      <c r="G106" s="184"/>
      <c r="H106" s="184"/>
      <c r="I106" s="184"/>
      <c r="J106" s="185"/>
      <c r="K106" s="53"/>
      <c r="L106" s="54"/>
      <c r="M106" s="53"/>
      <c r="N106" s="14"/>
      <c r="O106" s="55"/>
      <c r="P106" s="56"/>
      <c r="Q106" s="91"/>
    </row>
    <row r="107" spans="1:17" ht="20.25">
      <c r="A107" s="186"/>
      <c r="B107" s="187"/>
      <c r="C107" s="187"/>
      <c r="D107" s="187"/>
      <c r="E107" s="187"/>
      <c r="F107" s="187"/>
      <c r="G107" s="187"/>
      <c r="H107" s="187"/>
      <c r="I107" s="187"/>
      <c r="J107" s="188"/>
      <c r="K107" s="209" t="s">
        <v>75</v>
      </c>
      <c r="L107" s="210"/>
      <c r="M107" s="7"/>
      <c r="N107" s="4"/>
      <c r="O107" s="57" t="s">
        <v>18</v>
      </c>
      <c r="P107" s="58"/>
      <c r="Q107" s="116"/>
    </row>
    <row r="108" spans="1:17" ht="15.75">
      <c r="A108" s="186"/>
      <c r="B108" s="187"/>
      <c r="C108" s="187"/>
      <c r="D108" s="187"/>
      <c r="E108" s="187"/>
      <c r="F108" s="187"/>
      <c r="G108" s="187"/>
      <c r="H108" s="187"/>
      <c r="I108" s="187"/>
      <c r="J108" s="188"/>
      <c r="K108" s="59"/>
      <c r="L108" s="60"/>
      <c r="M108" s="7"/>
      <c r="N108" s="4"/>
      <c r="O108" s="61"/>
      <c r="P108" s="7"/>
      <c r="Q108" s="93"/>
    </row>
    <row r="109" spans="1:17" ht="15.75">
      <c r="A109" s="186"/>
      <c r="B109" s="187"/>
      <c r="C109" s="187"/>
      <c r="D109" s="187"/>
      <c r="E109" s="187"/>
      <c r="F109" s="187"/>
      <c r="G109" s="187"/>
      <c r="H109" s="187"/>
      <c r="I109" s="187"/>
      <c r="J109" s="188"/>
      <c r="K109" s="59"/>
      <c r="L109" s="60"/>
      <c r="M109" s="7"/>
      <c r="N109" s="4"/>
      <c r="O109" s="61"/>
      <c r="P109" s="62"/>
      <c r="Q109" s="93"/>
    </row>
    <row r="110" spans="1:17" ht="15.75">
      <c r="A110" s="186"/>
      <c r="B110" s="187"/>
      <c r="C110" s="187"/>
      <c r="D110" s="187"/>
      <c r="E110" s="187"/>
      <c r="F110" s="187"/>
      <c r="G110" s="187"/>
      <c r="H110" s="187"/>
      <c r="I110" s="187"/>
      <c r="J110" s="188"/>
      <c r="K110" s="59"/>
      <c r="L110" s="60"/>
      <c r="M110" s="7"/>
      <c r="N110" s="4"/>
      <c r="O110" s="61"/>
      <c r="P110" s="62"/>
      <c r="Q110" s="93"/>
    </row>
    <row r="111" spans="1:17" ht="15.75">
      <c r="A111" s="186"/>
      <c r="B111" s="187"/>
      <c r="C111" s="187"/>
      <c r="D111" s="187"/>
      <c r="E111" s="187"/>
      <c r="F111" s="187"/>
      <c r="G111" s="187"/>
      <c r="H111" s="187"/>
      <c r="I111" s="187"/>
      <c r="J111" s="188"/>
      <c r="K111" s="59"/>
      <c r="L111" s="60"/>
      <c r="M111" s="7"/>
      <c r="N111" s="4"/>
      <c r="O111" s="61"/>
      <c r="P111" s="62"/>
      <c r="Q111" s="93"/>
    </row>
    <row r="112" spans="1:17" ht="15.75">
      <c r="A112" s="186"/>
      <c r="B112" s="187"/>
      <c r="C112" s="187"/>
      <c r="D112" s="187"/>
      <c r="E112" s="187"/>
      <c r="F112" s="187"/>
      <c r="G112" s="187"/>
      <c r="H112" s="187"/>
      <c r="I112" s="187"/>
      <c r="J112" s="188"/>
      <c r="K112" s="7"/>
      <c r="L112" s="61"/>
      <c r="M112" s="7"/>
      <c r="N112" s="4"/>
      <c r="O112" s="61"/>
      <c r="P112" s="7"/>
      <c r="Q112" s="93"/>
    </row>
    <row r="113" spans="1:17" ht="15.75">
      <c r="A113" s="17"/>
      <c r="B113" s="76"/>
      <c r="C113" s="200"/>
      <c r="D113" s="142"/>
      <c r="E113" s="109"/>
      <c r="F113" s="109"/>
      <c r="G113" s="201"/>
      <c r="H113" s="142"/>
      <c r="I113" s="142"/>
      <c r="J113" s="112"/>
      <c r="K113" s="9"/>
      <c r="L113" s="60"/>
      <c r="M113" s="59"/>
      <c r="N113" s="9"/>
      <c r="O113" s="60"/>
      <c r="P113" s="66"/>
      <c r="Q113" s="93"/>
    </row>
    <row r="114" spans="1:17" ht="15.75">
      <c r="A114" s="17"/>
      <c r="B114" s="76"/>
      <c r="C114" s="200"/>
      <c r="D114" s="142"/>
      <c r="E114" s="109"/>
      <c r="F114" s="109"/>
      <c r="G114" s="201"/>
      <c r="H114" s="142"/>
      <c r="I114" s="142"/>
      <c r="J114" s="112"/>
      <c r="K114" s="9"/>
      <c r="L114" s="60"/>
      <c r="M114" s="59"/>
      <c r="N114" s="9"/>
      <c r="O114" s="60"/>
      <c r="P114" s="66"/>
      <c r="Q114" s="93"/>
    </row>
    <row r="115" spans="1:17" ht="15.75">
      <c r="A115" s="17"/>
      <c r="B115" s="76"/>
      <c r="C115" s="200"/>
      <c r="D115" s="142"/>
      <c r="E115" s="109"/>
      <c r="F115" s="109"/>
      <c r="G115" s="201"/>
      <c r="H115" s="142"/>
      <c r="I115" s="142"/>
      <c r="J115" s="112"/>
      <c r="K115" s="9"/>
      <c r="L115" s="60"/>
      <c r="M115" s="59"/>
      <c r="N115" s="9"/>
      <c r="O115" s="60"/>
      <c r="P115" s="66"/>
      <c r="Q115" s="93"/>
    </row>
    <row r="116" spans="1:17" ht="15.75">
      <c r="A116" s="17"/>
      <c r="B116" s="76"/>
      <c r="C116" s="200"/>
      <c r="D116" s="142"/>
      <c r="E116" s="109"/>
      <c r="F116" s="109"/>
      <c r="G116" s="201"/>
      <c r="H116" s="142"/>
      <c r="I116" s="142"/>
      <c r="J116" s="112"/>
      <c r="K116" s="9"/>
      <c r="L116" s="60"/>
      <c r="M116" s="59"/>
      <c r="N116" s="9"/>
      <c r="O116" s="60"/>
      <c r="P116" s="66"/>
      <c r="Q116" s="93"/>
    </row>
    <row r="117" spans="1:17" ht="15.75">
      <c r="A117" s="17"/>
      <c r="B117" s="76"/>
      <c r="C117" s="200"/>
      <c r="D117" s="142"/>
      <c r="E117" s="110"/>
      <c r="F117" s="109"/>
      <c r="G117" s="201"/>
      <c r="H117" s="142"/>
      <c r="I117" s="142"/>
      <c r="J117" s="112"/>
      <c r="K117" s="9"/>
      <c r="L117" s="60"/>
      <c r="M117" s="59"/>
      <c r="N117" s="9"/>
      <c r="O117" s="60"/>
      <c r="P117" s="66"/>
      <c r="Q117" s="93"/>
    </row>
    <row r="118" spans="1:17" ht="18.75">
      <c r="A118" s="17"/>
      <c r="B118" s="9"/>
      <c r="C118" s="192"/>
      <c r="D118" s="199"/>
      <c r="E118" s="199"/>
      <c r="F118" s="199"/>
      <c r="G118" s="199"/>
      <c r="H118" s="199"/>
      <c r="I118" s="199"/>
      <c r="J118" s="113"/>
      <c r="K118" s="68"/>
      <c r="L118" s="69"/>
      <c r="M118" s="70"/>
      <c r="N118" s="68"/>
      <c r="O118" s="69"/>
      <c r="P118" s="71"/>
      <c r="Q118" s="94"/>
    </row>
    <row r="119" spans="1:17" ht="15.75">
      <c r="A119" s="17"/>
      <c r="B119" s="9"/>
      <c r="C119" s="9"/>
      <c r="D119" s="9"/>
      <c r="E119" s="9"/>
      <c r="F119" s="32"/>
      <c r="G119" s="33"/>
      <c r="H119" s="33"/>
      <c r="I119" s="33"/>
      <c r="J119" s="33"/>
      <c r="K119" s="70"/>
      <c r="L119" s="69"/>
      <c r="M119" s="70"/>
      <c r="N119" s="68"/>
      <c r="O119" s="69"/>
      <c r="P119" s="71"/>
      <c r="Q119" s="95"/>
    </row>
    <row r="120" spans="1:17" ht="18">
      <c r="A120" s="163" t="s">
        <v>30</v>
      </c>
      <c r="B120" s="138"/>
      <c r="C120" s="138"/>
      <c r="D120" s="138"/>
      <c r="E120" s="138"/>
      <c r="F120" s="138"/>
      <c r="G120" s="138"/>
      <c r="H120" s="138"/>
      <c r="I120" s="138"/>
      <c r="J120" s="138"/>
      <c r="K120" s="72"/>
      <c r="L120" s="73"/>
      <c r="M120" s="72"/>
      <c r="N120" s="12"/>
      <c r="O120" s="74" t="s">
        <v>18</v>
      </c>
      <c r="P120" s="75"/>
      <c r="Q120" s="117">
        <f>Q107</f>
        <v>0</v>
      </c>
    </row>
    <row r="121" spans="1:17" ht="15.75">
      <c r="A121" s="34" t="s">
        <v>31</v>
      </c>
      <c r="B121" s="164" t="s">
        <v>32</v>
      </c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31"/>
    </row>
    <row r="122" spans="1:17" ht="15.75">
      <c r="A122" s="35"/>
      <c r="B122" s="5"/>
      <c r="C122" s="4" t="s">
        <v>33</v>
      </c>
      <c r="D122" s="4"/>
      <c r="E122" s="4"/>
      <c r="F122" s="4"/>
      <c r="G122" s="4"/>
      <c r="H122" s="4"/>
      <c r="I122" s="4"/>
      <c r="J122" s="4"/>
      <c r="K122" s="5"/>
      <c r="L122" s="76"/>
      <c r="M122" s="76"/>
      <c r="N122" s="9"/>
      <c r="O122" s="76"/>
      <c r="P122" s="77"/>
      <c r="Q122" s="49"/>
    </row>
    <row r="123" spans="1:17" ht="15.75">
      <c r="A123" s="35"/>
      <c r="B123" s="5"/>
      <c r="C123" s="4"/>
      <c r="D123" s="4"/>
      <c r="E123" s="4"/>
      <c r="F123" s="4"/>
      <c r="G123" s="4"/>
      <c r="H123" s="4"/>
      <c r="I123" s="4"/>
      <c r="J123" s="4"/>
      <c r="K123" s="5"/>
      <c r="L123" s="76"/>
      <c r="M123" s="76"/>
      <c r="N123" s="9"/>
      <c r="O123" s="76"/>
      <c r="P123" s="77"/>
      <c r="Q123" s="49"/>
    </row>
    <row r="124" spans="1:17" ht="15.75">
      <c r="A124" s="35"/>
      <c r="B124" s="5"/>
      <c r="C124" s="4"/>
      <c r="D124" s="4"/>
      <c r="E124" s="4"/>
      <c r="F124" s="4"/>
      <c r="G124" s="4"/>
      <c r="H124" s="4"/>
      <c r="I124" s="4"/>
      <c r="J124" s="4"/>
      <c r="K124" s="5"/>
      <c r="L124" s="76"/>
      <c r="M124" s="76"/>
      <c r="N124" s="9"/>
      <c r="O124" s="76"/>
      <c r="P124" s="77"/>
      <c r="Q124" s="49"/>
    </row>
    <row r="125" spans="1:17" ht="15.75">
      <c r="A125" s="35"/>
      <c r="B125" s="5"/>
      <c r="C125" s="4"/>
      <c r="D125" s="4"/>
      <c r="E125" s="4"/>
      <c r="F125" s="4"/>
      <c r="G125" s="4"/>
      <c r="H125" s="4"/>
      <c r="I125" s="4"/>
      <c r="J125" s="4"/>
      <c r="K125" s="5"/>
      <c r="L125" s="76"/>
      <c r="M125" s="76"/>
      <c r="N125" s="9"/>
      <c r="O125" s="76"/>
      <c r="P125" s="77"/>
      <c r="Q125" s="49"/>
    </row>
    <row r="126" spans="1:17" ht="20.25">
      <c r="A126" s="165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31"/>
    </row>
    <row r="127" spans="1:17" ht="20.25">
      <c r="A127" s="166" t="s">
        <v>34</v>
      </c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31"/>
    </row>
    <row r="128" spans="1:17" ht="15.75">
      <c r="A128" s="36" t="s">
        <v>35</v>
      </c>
      <c r="B128" s="37" t="s">
        <v>36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97"/>
    </row>
    <row r="129" spans="1:17" ht="15.75">
      <c r="A129" s="167" t="s">
        <v>37</v>
      </c>
      <c r="B129" s="168"/>
      <c r="C129" s="168"/>
      <c r="D129" s="168"/>
      <c r="E129" s="168"/>
      <c r="F129" s="168"/>
      <c r="G129" s="168"/>
      <c r="H129" s="168"/>
      <c r="I129" s="168"/>
      <c r="J129" s="168"/>
      <c r="K129" s="169" t="s">
        <v>38</v>
      </c>
      <c r="L129" s="168"/>
      <c r="M129" s="170"/>
      <c r="N129" s="78"/>
      <c r="O129" s="79"/>
      <c r="P129" s="80" t="s">
        <v>39</v>
      </c>
      <c r="Q129" s="98" t="s">
        <v>40</v>
      </c>
    </row>
    <row r="130" spans="1:17" ht="18">
      <c r="A130" s="39"/>
      <c r="B130" s="192" t="s">
        <v>76</v>
      </c>
      <c r="C130" s="192"/>
      <c r="D130" s="192"/>
      <c r="E130" s="192"/>
      <c r="F130" s="192"/>
      <c r="G130" s="192"/>
      <c r="H130" s="192"/>
      <c r="I130" s="192"/>
      <c r="J130" s="192"/>
      <c r="K130" s="193" t="s">
        <v>77</v>
      </c>
      <c r="L130" s="194"/>
      <c r="M130" s="195"/>
      <c r="N130" s="194"/>
      <c r="O130" s="194"/>
      <c r="P130" s="195"/>
      <c r="Q130" s="99"/>
    </row>
    <row r="131" spans="1:17" ht="18">
      <c r="A131" s="39"/>
      <c r="B131" s="192" t="s">
        <v>76</v>
      </c>
      <c r="C131" s="192"/>
      <c r="D131" s="192"/>
      <c r="E131" s="192"/>
      <c r="F131" s="192"/>
      <c r="G131" s="192"/>
      <c r="H131" s="192"/>
      <c r="I131" s="192"/>
      <c r="J131" s="192"/>
      <c r="K131" s="193"/>
      <c r="L131" s="194"/>
      <c r="M131" s="195"/>
      <c r="N131" s="194"/>
      <c r="O131" s="194"/>
      <c r="P131" s="195"/>
      <c r="Q131" s="99"/>
    </row>
    <row r="132" spans="1:17" ht="18">
      <c r="A132" s="41"/>
      <c r="B132" s="156" t="s">
        <v>43</v>
      </c>
      <c r="C132" s="138"/>
      <c r="D132" s="138"/>
      <c r="E132" s="138"/>
      <c r="F132" s="138"/>
      <c r="G132" s="138"/>
      <c r="H132" s="138"/>
      <c r="I132" s="138"/>
      <c r="J132" s="138"/>
      <c r="K132" s="157" t="s">
        <v>42</v>
      </c>
      <c r="L132" s="138"/>
      <c r="M132" s="158"/>
      <c r="N132" s="85"/>
      <c r="O132" s="85"/>
      <c r="P132" s="86"/>
      <c r="Q132" s="100"/>
    </row>
    <row r="133" spans="1:17" ht="15.75">
      <c r="A133" s="42" t="s">
        <v>44</v>
      </c>
      <c r="B133" s="159" t="s">
        <v>45</v>
      </c>
      <c r="C133" s="138"/>
      <c r="D133" s="138"/>
      <c r="E133" s="138"/>
      <c r="F133" s="138"/>
      <c r="G133" s="138"/>
      <c r="H133" s="138"/>
      <c r="I133" s="138"/>
      <c r="J133" s="138"/>
      <c r="K133" s="87" t="s">
        <v>46</v>
      </c>
      <c r="L133" s="160" t="s">
        <v>47</v>
      </c>
      <c r="M133" s="138"/>
      <c r="N133" s="138"/>
      <c r="O133" s="138"/>
      <c r="P133" s="138"/>
      <c r="Q133" s="134"/>
    </row>
    <row r="134" spans="1:17" ht="18">
      <c r="A134" s="43"/>
      <c r="B134" s="44"/>
      <c r="C134" s="45" t="s">
        <v>48</v>
      </c>
      <c r="D134" s="45"/>
      <c r="E134" s="45"/>
      <c r="F134" s="45"/>
      <c r="G134" s="45"/>
      <c r="H134" s="45"/>
      <c r="I134" s="45"/>
      <c r="J134" s="45"/>
      <c r="K134" s="144"/>
      <c r="L134" s="145"/>
      <c r="M134" s="145"/>
      <c r="N134" s="145"/>
      <c r="O134" s="145"/>
      <c r="P134" s="145"/>
      <c r="Q134" s="146"/>
    </row>
    <row r="135" spans="1:17" ht="18">
      <c r="A135" s="17"/>
      <c r="B135" s="8"/>
      <c r="C135" s="46" t="s">
        <v>50</v>
      </c>
      <c r="D135" s="46"/>
      <c r="E135" s="46"/>
      <c r="F135" s="46"/>
      <c r="G135" s="46"/>
      <c r="H135" s="46"/>
      <c r="I135" s="46"/>
      <c r="J135" s="46"/>
      <c r="K135" s="147"/>
      <c r="L135" s="142"/>
      <c r="M135" s="142"/>
      <c r="N135" s="142"/>
      <c r="O135" s="142"/>
      <c r="P135" s="142"/>
      <c r="Q135" s="131"/>
    </row>
    <row r="136" spans="1:17" ht="18">
      <c r="A136" s="35"/>
      <c r="B136" s="8"/>
      <c r="C136" s="46" t="s">
        <v>51</v>
      </c>
      <c r="D136" s="46"/>
      <c r="E136" s="46"/>
      <c r="F136" s="46"/>
      <c r="G136" s="46"/>
      <c r="H136" s="46"/>
      <c r="I136" s="46"/>
      <c r="J136" s="46"/>
      <c r="K136" s="147"/>
      <c r="L136" s="142"/>
      <c r="M136" s="142"/>
      <c r="N136" s="142"/>
      <c r="O136" s="142"/>
      <c r="P136" s="142"/>
      <c r="Q136" s="131"/>
    </row>
    <row r="137" spans="1:17" ht="18">
      <c r="A137" s="47"/>
      <c r="B137" s="12"/>
      <c r="C137" s="48" t="s">
        <v>52</v>
      </c>
      <c r="D137" s="48"/>
      <c r="E137" s="48"/>
      <c r="F137" s="48"/>
      <c r="G137" s="48"/>
      <c r="H137" s="48"/>
      <c r="I137" s="48"/>
      <c r="J137" s="48"/>
      <c r="K137" s="137"/>
      <c r="L137" s="138"/>
      <c r="M137" s="138"/>
      <c r="N137" s="138"/>
      <c r="O137" s="138"/>
      <c r="P137" s="138"/>
      <c r="Q137" s="134"/>
    </row>
    <row r="138" spans="1:17">
      <c r="A138" s="148" t="s">
        <v>53</v>
      </c>
      <c r="B138" s="145"/>
      <c r="C138" s="150"/>
      <c r="D138" s="145"/>
      <c r="E138" s="145"/>
      <c r="F138" s="145"/>
      <c r="G138" s="145"/>
      <c r="H138" s="145"/>
      <c r="I138" s="145"/>
      <c r="J138" s="145"/>
      <c r="K138" s="148" t="s">
        <v>53</v>
      </c>
      <c r="L138" s="149"/>
      <c r="M138" s="151"/>
      <c r="N138" s="145"/>
      <c r="O138" s="145"/>
      <c r="P138" s="145"/>
      <c r="Q138" s="146"/>
    </row>
    <row r="139" spans="1:17">
      <c r="A139" s="124"/>
      <c r="B139" s="125"/>
      <c r="C139" s="128"/>
      <c r="D139" s="125"/>
      <c r="E139" s="125"/>
      <c r="F139" s="125"/>
      <c r="G139" s="125"/>
      <c r="H139" s="125"/>
      <c r="I139" s="125"/>
      <c r="J139" s="125"/>
      <c r="K139" s="124"/>
      <c r="L139" s="129"/>
      <c r="M139" s="125"/>
      <c r="N139" s="125"/>
      <c r="O139" s="125"/>
      <c r="P139" s="125"/>
      <c r="Q139" s="132"/>
    </row>
    <row r="140" spans="1:17">
      <c r="A140" s="152" t="s">
        <v>54</v>
      </c>
      <c r="B140" s="123"/>
      <c r="C140" s="154"/>
      <c r="D140" s="123"/>
      <c r="E140" s="123"/>
      <c r="F140" s="123"/>
      <c r="G140" s="123"/>
      <c r="H140" s="123"/>
      <c r="I140" s="123"/>
      <c r="J140" s="123"/>
      <c r="K140" s="153" t="s">
        <v>54</v>
      </c>
      <c r="L140" s="127"/>
      <c r="M140" s="155"/>
      <c r="N140" s="123"/>
      <c r="O140" s="123"/>
      <c r="P140" s="123"/>
      <c r="Q140" s="140"/>
    </row>
    <row r="141" spans="1:17">
      <c r="A141" s="124"/>
      <c r="B141" s="125"/>
      <c r="C141" s="128"/>
      <c r="D141" s="125"/>
      <c r="E141" s="125"/>
      <c r="F141" s="125"/>
      <c r="G141" s="125"/>
      <c r="H141" s="125"/>
      <c r="I141" s="125"/>
      <c r="J141" s="125"/>
      <c r="K141" s="124"/>
      <c r="L141" s="129"/>
      <c r="M141" s="125"/>
      <c r="N141" s="125"/>
      <c r="O141" s="125"/>
      <c r="P141" s="125"/>
      <c r="Q141" s="132"/>
    </row>
    <row r="142" spans="1:17">
      <c r="A142" s="152" t="s">
        <v>55</v>
      </c>
      <c r="B142" s="123"/>
      <c r="C142" s="196" t="s">
        <v>56</v>
      </c>
      <c r="D142" s="123"/>
      <c r="E142" s="123"/>
      <c r="F142" s="123"/>
      <c r="G142" s="123"/>
      <c r="H142" s="123"/>
      <c r="I142" s="123"/>
      <c r="J142" s="140"/>
      <c r="K142" s="153" t="s">
        <v>55</v>
      </c>
      <c r="L142" s="127"/>
      <c r="M142" s="196" t="s">
        <v>57</v>
      </c>
      <c r="N142" s="123"/>
      <c r="O142" s="123"/>
      <c r="P142" s="123"/>
      <c r="Q142" s="140"/>
    </row>
    <row r="143" spans="1:17">
      <c r="A143" s="147"/>
      <c r="B143" s="142"/>
      <c r="C143" s="197" t="s">
        <v>58</v>
      </c>
      <c r="D143" s="125"/>
      <c r="E143" s="125"/>
      <c r="F143" s="125"/>
      <c r="G143" s="125"/>
      <c r="H143" s="125"/>
      <c r="I143" s="125"/>
      <c r="J143" s="125"/>
      <c r="K143" s="147"/>
      <c r="L143" s="143"/>
      <c r="M143" s="198" t="s">
        <v>59</v>
      </c>
      <c r="N143" s="125"/>
      <c r="O143" s="125"/>
      <c r="P143" s="125"/>
      <c r="Q143" s="132"/>
    </row>
    <row r="144" spans="1:17">
      <c r="A144" s="189" t="s">
        <v>60</v>
      </c>
      <c r="B144" s="123"/>
      <c r="C144" s="190"/>
      <c r="D144" s="123"/>
      <c r="E144" s="123"/>
      <c r="F144" s="123"/>
      <c r="G144" s="123"/>
      <c r="H144" s="123"/>
      <c r="I144" s="123"/>
      <c r="J144" s="123"/>
      <c r="K144" s="189" t="s">
        <v>60</v>
      </c>
      <c r="L144" s="127"/>
      <c r="M144" s="191"/>
      <c r="N144" s="123"/>
      <c r="O144" s="123"/>
      <c r="P144" s="123"/>
      <c r="Q144" s="140"/>
    </row>
    <row r="145" spans="1:17">
      <c r="A145" s="137"/>
      <c r="B145" s="138"/>
      <c r="C145" s="133"/>
      <c r="D145" s="138"/>
      <c r="E145" s="138"/>
      <c r="F145" s="138"/>
      <c r="G145" s="138"/>
      <c r="H145" s="138"/>
      <c r="I145" s="138"/>
      <c r="J145" s="138"/>
      <c r="K145" s="137"/>
      <c r="L145" s="158"/>
      <c r="M145" s="138"/>
      <c r="N145" s="138"/>
      <c r="O145" s="138"/>
      <c r="P145" s="138"/>
      <c r="Q145" s="134"/>
    </row>
    <row r="146" spans="1:17" ht="15.75">
      <c r="A146" s="36" t="s">
        <v>61</v>
      </c>
      <c r="B146" s="171" t="s">
        <v>62</v>
      </c>
      <c r="C146" s="172"/>
      <c r="D146" s="172"/>
      <c r="E146" s="172"/>
      <c r="F146" s="172"/>
      <c r="G146" s="172"/>
      <c r="H146" s="172"/>
      <c r="I146" s="172"/>
      <c r="J146" s="172"/>
      <c r="K146" s="172"/>
      <c r="L146" s="172"/>
      <c r="M146" s="172"/>
      <c r="N146" s="172"/>
      <c r="O146" s="173"/>
      <c r="P146" s="111" t="s">
        <v>63</v>
      </c>
      <c r="Q146" s="114"/>
    </row>
    <row r="147" spans="1:17">
      <c r="A147" s="122" t="s">
        <v>64</v>
      </c>
      <c r="B147" s="123"/>
      <c r="C147" s="126"/>
      <c r="D147" s="123"/>
      <c r="E147" s="123"/>
      <c r="F147" s="123"/>
      <c r="G147" s="123"/>
      <c r="H147" s="123"/>
      <c r="I147" s="127"/>
      <c r="J147" s="180" t="s">
        <v>65</v>
      </c>
      <c r="K147" s="174" t="s">
        <v>66</v>
      </c>
      <c r="L147" s="123"/>
      <c r="M147" s="123"/>
      <c r="N147" s="123"/>
      <c r="O147" s="127"/>
      <c r="P147" s="130" t="s">
        <v>67</v>
      </c>
      <c r="Q147" s="131"/>
    </row>
    <row r="148" spans="1:17" ht="18">
      <c r="A148" s="124"/>
      <c r="B148" s="125"/>
      <c r="C148" s="128"/>
      <c r="D148" s="125"/>
      <c r="E148" s="125"/>
      <c r="F148" s="125"/>
      <c r="G148" s="125"/>
      <c r="H148" s="125"/>
      <c r="I148" s="129"/>
      <c r="J148" s="128"/>
      <c r="K148" s="175"/>
      <c r="L148" s="125"/>
      <c r="M148" s="125"/>
      <c r="N148" s="125"/>
      <c r="O148" s="129"/>
      <c r="P148" s="128"/>
      <c r="Q148" s="132"/>
    </row>
    <row r="149" spans="1:17" ht="15.75">
      <c r="A149" s="122" t="s">
        <v>68</v>
      </c>
      <c r="B149" s="123"/>
      <c r="C149" s="126"/>
      <c r="D149" s="123"/>
      <c r="E149" s="123"/>
      <c r="F149" s="123"/>
      <c r="G149" s="123"/>
      <c r="H149" s="123"/>
      <c r="I149" s="127"/>
      <c r="J149" s="180" t="s">
        <v>65</v>
      </c>
      <c r="K149" s="174" t="s">
        <v>69</v>
      </c>
      <c r="L149" s="123"/>
      <c r="M149" s="123"/>
      <c r="N149" s="123"/>
      <c r="O149" s="127"/>
      <c r="P149" s="14" t="s">
        <v>60</v>
      </c>
      <c r="Q149" s="115"/>
    </row>
    <row r="150" spans="1:17" ht="15.75">
      <c r="A150" s="124"/>
      <c r="B150" s="125"/>
      <c r="C150" s="128"/>
      <c r="D150" s="125"/>
      <c r="E150" s="125"/>
      <c r="F150" s="125"/>
      <c r="G150" s="125"/>
      <c r="H150" s="125"/>
      <c r="I150" s="129"/>
      <c r="J150" s="128"/>
      <c r="K150" s="176"/>
      <c r="L150" s="125"/>
      <c r="M150" s="125"/>
      <c r="N150" s="125"/>
      <c r="O150" s="129"/>
      <c r="P150" s="130" t="s">
        <v>67</v>
      </c>
      <c r="Q150" s="131"/>
    </row>
    <row r="151" spans="1:17">
      <c r="A151" s="177" t="s">
        <v>70</v>
      </c>
      <c r="B151" s="178"/>
      <c r="C151" s="178"/>
      <c r="D151" s="178"/>
      <c r="E151" s="178"/>
      <c r="F151" s="178"/>
      <c r="G151" s="178"/>
      <c r="H151" s="178"/>
      <c r="I151" s="178"/>
      <c r="J151" s="178"/>
      <c r="K151" s="178"/>
      <c r="L151" s="178"/>
      <c r="M151" s="178"/>
      <c r="N151" s="178"/>
      <c r="O151" s="179"/>
      <c r="P151" s="133"/>
      <c r="Q151" s="134"/>
    </row>
    <row r="152" spans="1:17" ht="15.75">
      <c r="A152" s="10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5"/>
      <c r="Q152" s="5"/>
    </row>
    <row r="153" spans="1:17" ht="15.75">
      <c r="A153" s="10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5"/>
      <c r="Q153" s="5"/>
    </row>
    <row r="154" spans="1:17" ht="15.75">
      <c r="A154" s="10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5"/>
      <c r="Q154" s="5"/>
    </row>
    <row r="155" spans="1:17" ht="15.75">
      <c r="A155" s="10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5"/>
      <c r="Q155" s="5"/>
    </row>
    <row r="156" spans="1:17" ht="15.75">
      <c r="A156" s="102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>
      <c r="A157" s="103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</row>
    <row r="158" spans="1:17">
      <c r="A158" s="103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</row>
    <row r="159" spans="1:17">
      <c r="A159" s="105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</row>
    <row r="160" spans="1:17">
      <c r="A160" s="106"/>
      <c r="B160" s="107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</row>
    <row r="161" spans="1:17">
      <c r="A161" s="106"/>
      <c r="B161" s="107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</row>
    <row r="162" spans="1:17">
      <c r="A162" s="106"/>
      <c r="B162" s="107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</row>
    <row r="163" spans="1:17">
      <c r="A163" s="108"/>
      <c r="B163" s="107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</row>
    <row r="164" spans="1:17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</row>
    <row r="166" spans="1:17" ht="15.75" thickBot="1"/>
    <row r="167" spans="1:17">
      <c r="A167" s="232"/>
      <c r="B167" s="233"/>
      <c r="C167" s="233"/>
      <c r="D167" s="233"/>
      <c r="E167" s="233"/>
      <c r="F167" s="233"/>
      <c r="G167" s="233"/>
      <c r="H167" s="233"/>
      <c r="I167" s="233"/>
      <c r="J167" s="233"/>
      <c r="K167" s="233"/>
      <c r="L167" s="233"/>
      <c r="M167" s="233"/>
      <c r="N167" s="233"/>
      <c r="O167" s="234"/>
      <c r="P167" s="235"/>
      <c r="Q167" s="236"/>
    </row>
    <row r="168" spans="1:17" ht="18">
      <c r="A168" s="237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238"/>
      <c r="P168" s="239"/>
      <c r="Q168" s="240"/>
    </row>
    <row r="169" spans="1:17" ht="18">
      <c r="A169" s="237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238"/>
      <c r="P169" s="239"/>
      <c r="Q169" s="240"/>
    </row>
    <row r="170" spans="1:17" ht="18">
      <c r="A170" s="237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238"/>
      <c r="P170" s="239"/>
      <c r="Q170" s="240"/>
    </row>
    <row r="171" spans="1:17" ht="23.25" thickBot="1">
      <c r="A171" s="241"/>
      <c r="B171" s="242"/>
      <c r="C171" s="242"/>
      <c r="D171" s="243" t="s">
        <v>78</v>
      </c>
      <c r="E171" s="244"/>
      <c r="F171" s="244"/>
      <c r="G171" s="244"/>
      <c r="H171" s="244"/>
      <c r="I171" s="244"/>
      <c r="J171" s="244"/>
      <c r="K171" s="244"/>
      <c r="L171" s="244"/>
      <c r="M171" s="244"/>
      <c r="N171" s="244"/>
      <c r="O171" s="245"/>
      <c r="P171" s="246"/>
      <c r="Q171" s="247"/>
    </row>
    <row r="172" spans="1:17">
      <c r="A172" s="248" t="s">
        <v>10</v>
      </c>
      <c r="B172" s="249"/>
      <c r="C172" s="249"/>
      <c r="D172" s="250"/>
      <c r="E172" s="251"/>
      <c r="F172" s="251"/>
      <c r="G172" s="251"/>
      <c r="H172" s="251"/>
      <c r="I172" s="251"/>
      <c r="J172" s="251"/>
      <c r="K172" s="251"/>
      <c r="L172" s="251"/>
      <c r="M172" s="251"/>
      <c r="N172" s="251"/>
      <c r="O172" s="251"/>
      <c r="P172" s="251"/>
      <c r="Q172" s="252"/>
    </row>
    <row r="173" spans="1:17">
      <c r="A173" s="253"/>
      <c r="B173" s="254"/>
      <c r="C173" s="254"/>
      <c r="D173" s="255"/>
      <c r="E173" s="256"/>
      <c r="F173" s="256"/>
      <c r="G173" s="256"/>
      <c r="H173" s="256"/>
      <c r="I173" s="256"/>
      <c r="J173" s="256"/>
      <c r="K173" s="256"/>
      <c r="L173" s="256"/>
      <c r="M173" s="256"/>
      <c r="N173" s="256"/>
      <c r="O173" s="256"/>
      <c r="P173" s="256"/>
      <c r="Q173" s="257"/>
    </row>
    <row r="174" spans="1:17">
      <c r="A174" s="258" t="s">
        <v>79</v>
      </c>
      <c r="B174" s="259"/>
      <c r="C174" s="259"/>
      <c r="D174" s="260"/>
      <c r="E174" s="261"/>
      <c r="F174" s="261"/>
      <c r="G174" s="261"/>
      <c r="H174" s="261"/>
      <c r="I174" s="261"/>
      <c r="J174" s="261"/>
      <c r="K174" s="261"/>
      <c r="L174" s="261"/>
      <c r="M174" s="261"/>
      <c r="N174" s="261"/>
      <c r="O174" s="261"/>
      <c r="P174" s="261"/>
      <c r="Q174" s="240"/>
    </row>
    <row r="175" spans="1:17">
      <c r="A175" s="253"/>
      <c r="B175" s="254"/>
      <c r="C175" s="254"/>
      <c r="D175" s="255"/>
      <c r="E175" s="256"/>
      <c r="F175" s="256"/>
      <c r="G175" s="256"/>
      <c r="H175" s="256"/>
      <c r="I175" s="256"/>
      <c r="J175" s="256"/>
      <c r="K175" s="256"/>
      <c r="L175" s="256"/>
      <c r="M175" s="256"/>
      <c r="N175" s="256"/>
      <c r="O175" s="256"/>
      <c r="P175" s="256"/>
      <c r="Q175" s="257"/>
    </row>
    <row r="176" spans="1:17">
      <c r="A176" s="258" t="s">
        <v>13</v>
      </c>
      <c r="B176" s="259"/>
      <c r="C176" s="259"/>
      <c r="D176" s="260"/>
      <c r="E176" s="261"/>
      <c r="F176" s="261"/>
      <c r="G176" s="261"/>
      <c r="H176" s="261"/>
      <c r="I176" s="261"/>
      <c r="J176" s="261"/>
      <c r="K176" s="261"/>
      <c r="L176" s="261"/>
      <c r="M176" s="261"/>
      <c r="N176" s="261"/>
      <c r="O176" s="261"/>
      <c r="P176" s="261"/>
      <c r="Q176" s="240"/>
    </row>
    <row r="177" spans="1:17" ht="15.75" thickBot="1">
      <c r="A177" s="262"/>
      <c r="B177" s="263"/>
      <c r="C177" s="263"/>
      <c r="D177" s="264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265"/>
      <c r="Q177" s="266"/>
    </row>
    <row r="178" spans="1:17" ht="15.75" thickTop="1">
      <c r="A178" s="258" t="s">
        <v>80</v>
      </c>
      <c r="B178" s="259"/>
      <c r="C178" s="259"/>
      <c r="D178" s="267" t="s">
        <v>14</v>
      </c>
      <c r="E178" s="259"/>
      <c r="F178" s="259"/>
      <c r="G178" s="259"/>
      <c r="H178" s="259"/>
      <c r="I178" s="259"/>
      <c r="J178" s="259"/>
      <c r="K178" s="259"/>
      <c r="L178" s="267" t="s">
        <v>15</v>
      </c>
      <c r="M178" s="259"/>
      <c r="N178" s="267" t="s">
        <v>38</v>
      </c>
      <c r="O178" s="259"/>
      <c r="P178" s="267" t="s">
        <v>16</v>
      </c>
      <c r="Q178" s="247"/>
    </row>
    <row r="179" spans="1:17">
      <c r="A179" s="253"/>
      <c r="B179" s="254"/>
      <c r="C179" s="254"/>
      <c r="D179" s="268"/>
      <c r="E179" s="254"/>
      <c r="F179" s="254"/>
      <c r="G179" s="254"/>
      <c r="H179" s="254"/>
      <c r="I179" s="254"/>
      <c r="J179" s="254"/>
      <c r="K179" s="254"/>
      <c r="L179" s="268"/>
      <c r="M179" s="254"/>
      <c r="N179" s="268"/>
      <c r="O179" s="254"/>
      <c r="P179" s="268"/>
      <c r="Q179" s="269"/>
    </row>
    <row r="180" spans="1:17">
      <c r="A180" s="237"/>
      <c r="B180" s="18"/>
      <c r="C180" s="18"/>
      <c r="D180" s="270"/>
      <c r="E180" s="18"/>
      <c r="F180" s="18"/>
      <c r="G180" s="18"/>
      <c r="H180" s="18"/>
      <c r="I180" s="18"/>
      <c r="J180" s="18"/>
      <c r="K180" s="18"/>
      <c r="L180" s="270"/>
      <c r="M180" s="18"/>
      <c r="N180" s="270"/>
      <c r="O180" s="18"/>
      <c r="P180" s="270"/>
      <c r="Q180" s="238"/>
    </row>
    <row r="181" spans="1:17" ht="18">
      <c r="A181" s="258"/>
      <c r="B181" s="271"/>
      <c r="C181" s="271"/>
      <c r="D181" s="272"/>
      <c r="E181" s="187"/>
      <c r="F181" s="187"/>
      <c r="G181" s="187"/>
      <c r="H181" s="187"/>
      <c r="I181" s="187"/>
      <c r="J181" s="187"/>
      <c r="K181" s="187"/>
      <c r="L181" s="273"/>
      <c r="M181" s="259"/>
      <c r="N181" s="273"/>
      <c r="O181" s="259"/>
      <c r="P181" s="274"/>
      <c r="Q181" s="275"/>
    </row>
    <row r="182" spans="1:17">
      <c r="A182" s="258"/>
      <c r="B182" s="271"/>
      <c r="C182" s="271"/>
      <c r="D182" s="272"/>
      <c r="E182" s="187"/>
      <c r="F182" s="187"/>
      <c r="G182" s="187"/>
      <c r="H182" s="187"/>
      <c r="I182" s="187"/>
      <c r="J182" s="187"/>
      <c r="K182" s="187"/>
      <c r="L182" s="270"/>
      <c r="M182" s="18"/>
      <c r="N182" s="270"/>
      <c r="O182" s="18"/>
      <c r="P182" s="270"/>
      <c r="Q182" s="238"/>
    </row>
    <row r="183" spans="1:17">
      <c r="A183" s="258"/>
      <c r="B183" s="271"/>
      <c r="C183" s="271"/>
      <c r="D183" s="272"/>
      <c r="E183" s="187"/>
      <c r="F183" s="187"/>
      <c r="G183" s="187"/>
      <c r="H183" s="187"/>
      <c r="I183" s="187"/>
      <c r="J183" s="187"/>
      <c r="K183" s="187"/>
      <c r="L183" s="270"/>
      <c r="M183" s="18"/>
      <c r="N183" s="270"/>
      <c r="O183" s="18"/>
      <c r="P183" s="270"/>
      <c r="Q183" s="238"/>
    </row>
    <row r="184" spans="1:17">
      <c r="A184" s="258"/>
      <c r="B184" s="271"/>
      <c r="C184" s="271"/>
      <c r="D184" s="272"/>
      <c r="E184" s="187"/>
      <c r="F184" s="187"/>
      <c r="G184" s="187"/>
      <c r="H184" s="187"/>
      <c r="I184" s="187"/>
      <c r="J184" s="187"/>
      <c r="K184" s="187"/>
      <c r="L184" s="270"/>
      <c r="M184" s="18"/>
      <c r="N184" s="270"/>
      <c r="O184" s="18"/>
      <c r="P184" s="270"/>
      <c r="Q184" s="238"/>
    </row>
    <row r="185" spans="1:17">
      <c r="A185" s="258"/>
      <c r="B185" s="271"/>
      <c r="C185" s="271"/>
      <c r="D185" s="272"/>
      <c r="E185" s="187"/>
      <c r="F185" s="187"/>
      <c r="G185" s="187"/>
      <c r="H185" s="187"/>
      <c r="I185" s="187"/>
      <c r="J185" s="187"/>
      <c r="K185" s="187"/>
      <c r="L185" s="270"/>
      <c r="M185" s="18"/>
      <c r="N185" s="270"/>
      <c r="O185" s="18"/>
      <c r="P185" s="270"/>
      <c r="Q185" s="238"/>
    </row>
    <row r="186" spans="1:17">
      <c r="A186" s="258"/>
      <c r="B186" s="271"/>
      <c r="C186" s="271"/>
      <c r="D186" s="272"/>
      <c r="E186" s="187"/>
      <c r="F186" s="187"/>
      <c r="G186" s="187"/>
      <c r="H186" s="187"/>
      <c r="I186" s="187"/>
      <c r="J186" s="187"/>
      <c r="K186" s="187"/>
      <c r="L186" s="270"/>
      <c r="M186" s="18"/>
      <c r="N186" s="270"/>
      <c r="O186" s="18"/>
      <c r="P186" s="270"/>
      <c r="Q186" s="238"/>
    </row>
    <row r="187" spans="1:17">
      <c r="A187" s="258"/>
      <c r="B187" s="271"/>
      <c r="C187" s="271"/>
      <c r="D187" s="272"/>
      <c r="E187" s="187"/>
      <c r="F187" s="187"/>
      <c r="G187" s="187"/>
      <c r="H187" s="187"/>
      <c r="I187" s="187"/>
      <c r="J187" s="187"/>
      <c r="K187" s="187"/>
      <c r="L187" s="270"/>
      <c r="M187" s="18"/>
      <c r="N187" s="270"/>
      <c r="O187" s="18"/>
      <c r="P187" s="270"/>
      <c r="Q187" s="238"/>
    </row>
    <row r="188" spans="1:17">
      <c r="A188" s="258"/>
      <c r="B188" s="271"/>
      <c r="C188" s="271"/>
      <c r="D188" s="272"/>
      <c r="E188" s="187"/>
      <c r="F188" s="187"/>
      <c r="G188" s="187"/>
      <c r="H188" s="187"/>
      <c r="I188" s="187"/>
      <c r="J188" s="187"/>
      <c r="K188" s="187"/>
      <c r="L188" s="270"/>
      <c r="M188" s="18"/>
      <c r="N188" s="270"/>
      <c r="O188" s="18"/>
      <c r="P188" s="270"/>
      <c r="Q188" s="238"/>
    </row>
    <row r="189" spans="1:17">
      <c r="A189" s="237"/>
      <c r="B189" s="18"/>
      <c r="C189" s="18"/>
      <c r="D189" s="270"/>
      <c r="E189" s="18"/>
      <c r="F189" s="18"/>
      <c r="G189" s="18"/>
      <c r="H189" s="18"/>
      <c r="I189" s="18"/>
      <c r="J189" s="18"/>
      <c r="K189" s="18"/>
      <c r="L189" s="270"/>
      <c r="M189" s="18"/>
      <c r="N189" s="270"/>
      <c r="O189" s="18"/>
      <c r="P189" s="270"/>
      <c r="Q189" s="238"/>
    </row>
    <row r="190" spans="1:17">
      <c r="A190" s="237"/>
      <c r="B190" s="18"/>
      <c r="C190" s="18"/>
      <c r="D190" s="270"/>
      <c r="E190" s="18"/>
      <c r="F190" s="18"/>
      <c r="G190" s="18"/>
      <c r="H190" s="18"/>
      <c r="I190" s="18"/>
      <c r="J190" s="18"/>
      <c r="K190" s="18"/>
      <c r="L190" s="270"/>
      <c r="M190" s="18"/>
      <c r="N190" s="270"/>
      <c r="O190" s="18"/>
      <c r="P190" s="270"/>
      <c r="Q190" s="238"/>
    </row>
    <row r="191" spans="1:17">
      <c r="A191" s="237"/>
      <c r="B191" s="18"/>
      <c r="C191" s="18"/>
      <c r="D191" s="270"/>
      <c r="E191" s="18"/>
      <c r="F191" s="18"/>
      <c r="G191" s="18"/>
      <c r="H191" s="18"/>
      <c r="I191" s="18"/>
      <c r="J191" s="18"/>
      <c r="K191" s="18"/>
      <c r="L191" s="270"/>
      <c r="M191" s="18"/>
      <c r="N191" s="270"/>
      <c r="O191" s="18"/>
      <c r="P191" s="270"/>
      <c r="Q191" s="238"/>
    </row>
    <row r="192" spans="1:17">
      <c r="A192" s="237"/>
      <c r="B192" s="18"/>
      <c r="C192" s="18"/>
      <c r="D192" s="270"/>
      <c r="E192" s="18"/>
      <c r="F192" s="18"/>
      <c r="G192" s="18"/>
      <c r="H192" s="18"/>
      <c r="I192" s="18"/>
      <c r="J192" s="18"/>
      <c r="K192" s="18"/>
      <c r="L192" s="270"/>
      <c r="M192" s="18"/>
      <c r="N192" s="270"/>
      <c r="O192" s="18"/>
      <c r="P192" s="270"/>
      <c r="Q192" s="238"/>
    </row>
    <row r="193" spans="1:17">
      <c r="A193" s="237"/>
      <c r="B193" s="18"/>
      <c r="C193" s="18"/>
      <c r="D193" s="270"/>
      <c r="E193" s="18"/>
      <c r="F193" s="18"/>
      <c r="G193" s="18"/>
      <c r="H193" s="18"/>
      <c r="I193" s="18"/>
      <c r="J193" s="18"/>
      <c r="K193" s="18"/>
      <c r="L193" s="270"/>
      <c r="M193" s="18"/>
      <c r="N193" s="270"/>
      <c r="O193" s="18"/>
      <c r="P193" s="270"/>
      <c r="Q193" s="238"/>
    </row>
    <row r="194" spans="1:17">
      <c r="A194" s="237"/>
      <c r="B194" s="18"/>
      <c r="C194" s="18"/>
      <c r="D194" s="270"/>
      <c r="E194" s="18"/>
      <c r="F194" s="18"/>
      <c r="G194" s="18"/>
      <c r="H194" s="18"/>
      <c r="I194" s="18"/>
      <c r="J194" s="18"/>
      <c r="K194" s="18"/>
      <c r="L194" s="270"/>
      <c r="M194" s="18"/>
      <c r="N194" s="270"/>
      <c r="O194" s="18"/>
      <c r="P194" s="276"/>
      <c r="Q194" s="277"/>
    </row>
    <row r="195" spans="1:17" ht="18.75" thickBot="1">
      <c r="A195" s="241"/>
      <c r="B195" s="242"/>
      <c r="C195" s="242"/>
      <c r="D195" s="278"/>
      <c r="E195" s="242"/>
      <c r="F195" s="242"/>
      <c r="G195" s="242"/>
      <c r="H195" s="242"/>
      <c r="I195" s="242"/>
      <c r="J195" s="279" t="s">
        <v>81</v>
      </c>
      <c r="K195" s="280"/>
      <c r="L195" s="278"/>
      <c r="M195" s="242"/>
      <c r="N195" s="278"/>
      <c r="O195" s="242"/>
      <c r="P195" s="281"/>
      <c r="Q195" s="282"/>
    </row>
    <row r="196" spans="1:17">
      <c r="A196" s="283" t="s">
        <v>31</v>
      </c>
      <c r="B196" s="249"/>
      <c r="C196" s="284"/>
      <c r="D196" s="233"/>
      <c r="E196" s="233"/>
      <c r="F196" s="233"/>
      <c r="G196" s="233"/>
      <c r="H196" s="233"/>
      <c r="I196" s="233"/>
      <c r="J196" s="233"/>
      <c r="K196" s="234"/>
      <c r="L196" s="248" t="s">
        <v>35</v>
      </c>
      <c r="M196" s="285"/>
      <c r="N196" s="233"/>
      <c r="O196" s="233"/>
      <c r="P196" s="233"/>
      <c r="Q196" s="234"/>
    </row>
    <row r="197" spans="1:17" ht="18">
      <c r="A197" s="268"/>
      <c r="B197" s="254"/>
      <c r="C197" s="267" t="s">
        <v>45</v>
      </c>
      <c r="D197" s="259"/>
      <c r="E197" s="286" t="s">
        <v>82</v>
      </c>
      <c r="F197" s="259"/>
      <c r="G197" s="259"/>
      <c r="H197" s="259"/>
      <c r="I197" s="259"/>
      <c r="J197" s="259"/>
      <c r="K197" s="247"/>
      <c r="L197" s="253"/>
      <c r="M197" s="287"/>
      <c r="N197" s="271" t="s">
        <v>45</v>
      </c>
      <c r="O197" s="259"/>
      <c r="P197" s="288" t="s">
        <v>83</v>
      </c>
      <c r="Q197" s="289"/>
    </row>
    <row r="198" spans="1:17" ht="18">
      <c r="A198" s="237"/>
      <c r="B198" s="18"/>
      <c r="C198" s="18"/>
      <c r="D198" s="286" t="s">
        <v>84</v>
      </c>
      <c r="E198" s="259"/>
      <c r="F198" s="259"/>
      <c r="G198" s="259"/>
      <c r="H198" s="259"/>
      <c r="I198" s="259"/>
      <c r="J198" s="259"/>
      <c r="K198" s="247"/>
      <c r="L198" s="237"/>
      <c r="M198" s="18"/>
      <c r="N198" s="288" t="s">
        <v>85</v>
      </c>
      <c r="O198" s="290"/>
      <c r="P198" s="290"/>
      <c r="Q198" s="289"/>
    </row>
    <row r="199" spans="1:17" ht="18">
      <c r="A199" s="237"/>
      <c r="B199" s="18"/>
      <c r="C199" s="18"/>
      <c r="D199" s="288" t="s">
        <v>86</v>
      </c>
      <c r="E199" s="290"/>
      <c r="F199" s="290"/>
      <c r="G199" s="290"/>
      <c r="H199" s="290"/>
      <c r="I199" s="290"/>
      <c r="J199" s="290"/>
      <c r="K199" s="289"/>
      <c r="L199" s="237"/>
      <c r="M199" s="18"/>
      <c r="N199" s="288" t="s">
        <v>87</v>
      </c>
      <c r="O199" s="290"/>
      <c r="P199" s="290"/>
      <c r="Q199" s="289"/>
    </row>
    <row r="200" spans="1:17">
      <c r="A200" s="237"/>
      <c r="B200" s="18"/>
      <c r="C200" s="18"/>
      <c r="D200" s="18"/>
      <c r="E200" s="18"/>
      <c r="F200" s="18"/>
      <c r="G200" s="18"/>
      <c r="H200" s="18"/>
      <c r="I200" s="18"/>
      <c r="J200" s="18"/>
      <c r="K200" s="238"/>
      <c r="L200" s="237"/>
      <c r="M200" s="18"/>
      <c r="N200" s="18"/>
      <c r="O200" s="18"/>
      <c r="P200" s="18"/>
      <c r="Q200" s="238"/>
    </row>
    <row r="201" spans="1:17">
      <c r="A201" s="237"/>
      <c r="B201" s="18"/>
      <c r="C201" s="18"/>
      <c r="D201" s="18"/>
      <c r="E201" s="18"/>
      <c r="F201" s="18"/>
      <c r="G201" s="18"/>
      <c r="H201" s="18"/>
      <c r="I201" s="18"/>
      <c r="J201" s="18"/>
      <c r="K201" s="238"/>
      <c r="L201" s="237"/>
      <c r="M201" s="18"/>
      <c r="N201" s="18"/>
      <c r="O201" s="18"/>
      <c r="P201" s="18"/>
      <c r="Q201" s="238"/>
    </row>
    <row r="202" spans="1:17">
      <c r="A202" s="237"/>
      <c r="B202" s="18"/>
      <c r="C202" s="18"/>
      <c r="D202" s="18"/>
      <c r="E202" s="18"/>
      <c r="F202" s="18"/>
      <c r="G202" s="18"/>
      <c r="H202" s="18"/>
      <c r="I202" s="18"/>
      <c r="J202" s="18"/>
      <c r="K202" s="238"/>
      <c r="L202" s="237"/>
      <c r="M202" s="18"/>
      <c r="N202" s="18"/>
      <c r="O202" s="18"/>
      <c r="P202" s="18"/>
      <c r="Q202" s="238"/>
    </row>
    <row r="203" spans="1:17" ht="18">
      <c r="A203" s="291" t="s">
        <v>88</v>
      </c>
      <c r="B203" s="288"/>
      <c r="C203" s="18"/>
      <c r="D203" s="18"/>
      <c r="E203" s="18"/>
      <c r="F203" s="18"/>
      <c r="G203" s="18"/>
      <c r="H203" s="18"/>
      <c r="I203" s="18"/>
      <c r="J203" s="18"/>
      <c r="K203" s="238"/>
      <c r="L203" s="291" t="s">
        <v>88</v>
      </c>
      <c r="M203" s="288"/>
      <c r="N203" s="18"/>
      <c r="O203" s="259"/>
      <c r="P203" s="259"/>
      <c r="Q203" s="247"/>
    </row>
    <row r="204" spans="1:17" ht="18">
      <c r="A204" s="291" t="s">
        <v>89</v>
      </c>
      <c r="B204" s="288"/>
      <c r="C204" s="18"/>
      <c r="D204" s="18"/>
      <c r="E204" s="292" t="s">
        <v>90</v>
      </c>
      <c r="F204" s="293"/>
      <c r="G204" s="293"/>
      <c r="H204" s="293"/>
      <c r="I204" s="293"/>
      <c r="J204" s="293"/>
      <c r="K204" s="294"/>
      <c r="L204" s="291" t="s">
        <v>89</v>
      </c>
      <c r="M204" s="288"/>
      <c r="N204" s="18"/>
      <c r="O204" s="292" t="s">
        <v>91</v>
      </c>
      <c r="P204" s="293"/>
      <c r="Q204" s="294"/>
    </row>
    <row r="205" spans="1:17" ht="18">
      <c r="A205" s="291" t="s">
        <v>92</v>
      </c>
      <c r="B205" s="288"/>
      <c r="C205" s="18"/>
      <c r="D205" s="18"/>
      <c r="E205" s="286" t="s">
        <v>93</v>
      </c>
      <c r="F205" s="286"/>
      <c r="G205" s="286"/>
      <c r="H205" s="286"/>
      <c r="I205" s="286"/>
      <c r="J205" s="286"/>
      <c r="K205" s="286"/>
      <c r="L205" s="291" t="s">
        <v>92</v>
      </c>
      <c r="M205" s="288"/>
      <c r="N205" s="18"/>
      <c r="O205" s="286" t="s">
        <v>94</v>
      </c>
      <c r="P205" s="286"/>
      <c r="Q205" s="295"/>
    </row>
    <row r="206" spans="1:17" ht="18">
      <c r="A206" s="291" t="s">
        <v>95</v>
      </c>
      <c r="B206" s="290"/>
      <c r="C206" s="18"/>
      <c r="D206" s="18"/>
      <c r="E206" s="18"/>
      <c r="F206" s="18"/>
      <c r="G206" s="18"/>
      <c r="H206" s="18"/>
      <c r="I206" s="18"/>
      <c r="J206" s="18"/>
      <c r="K206" s="238"/>
      <c r="L206" s="291" t="s">
        <v>95</v>
      </c>
      <c r="M206" s="290"/>
      <c r="N206" s="18"/>
      <c r="O206" s="18"/>
      <c r="P206" s="296" t="s">
        <v>96</v>
      </c>
      <c r="Q206" s="297" t="s">
        <v>97</v>
      </c>
    </row>
    <row r="207" spans="1:17" ht="15.75" thickBot="1">
      <c r="A207" s="241"/>
      <c r="B207" s="242"/>
      <c r="C207" s="242"/>
      <c r="D207" s="242"/>
      <c r="E207" s="242"/>
      <c r="F207" s="242"/>
      <c r="G207" s="242"/>
      <c r="H207" s="242"/>
      <c r="I207" s="242"/>
      <c r="J207" s="242"/>
      <c r="K207" s="298"/>
      <c r="L207" s="241"/>
      <c r="M207" s="242"/>
      <c r="N207" s="242"/>
      <c r="O207" s="242"/>
      <c r="P207" s="242"/>
      <c r="Q207" s="298"/>
    </row>
    <row r="208" spans="1:17" ht="18.75" thickBot="1">
      <c r="A208" s="299" t="s">
        <v>44</v>
      </c>
      <c r="B208" s="300"/>
      <c r="C208" s="301"/>
      <c r="D208" s="302" t="s">
        <v>98</v>
      </c>
      <c r="E208" s="303"/>
      <c r="F208" s="303"/>
      <c r="G208" s="303"/>
      <c r="H208" s="303"/>
      <c r="I208" s="303"/>
      <c r="J208" s="303"/>
      <c r="K208" s="303"/>
      <c r="L208" s="303"/>
      <c r="M208" s="303"/>
      <c r="N208" s="303"/>
      <c r="O208" s="303"/>
      <c r="P208" s="303"/>
      <c r="Q208" s="304"/>
    </row>
    <row r="209" spans="1:17" ht="18.75" thickBot="1">
      <c r="A209" s="305" t="s">
        <v>99</v>
      </c>
      <c r="B209" s="303"/>
      <c r="C209" s="303"/>
      <c r="D209" s="303"/>
      <c r="E209" s="303"/>
      <c r="F209" s="303"/>
      <c r="G209" s="303"/>
      <c r="H209" s="303"/>
      <c r="I209" s="304"/>
      <c r="J209" s="305" t="s">
        <v>16</v>
      </c>
      <c r="K209" s="303"/>
      <c r="L209" s="303"/>
      <c r="M209" s="303"/>
      <c r="N209" s="303"/>
      <c r="O209" s="303"/>
      <c r="P209" s="303"/>
      <c r="Q209" s="304"/>
    </row>
    <row r="210" spans="1:17" ht="18">
      <c r="A210" s="306" t="s">
        <v>60</v>
      </c>
      <c r="B210" s="249"/>
      <c r="C210" s="285"/>
      <c r="D210" s="307" t="s">
        <v>14</v>
      </c>
      <c r="E210" s="249"/>
      <c r="F210" s="285"/>
      <c r="G210" s="308" t="s">
        <v>100</v>
      </c>
      <c r="H210" s="309"/>
      <c r="I210" s="310"/>
      <c r="J210" s="307" t="s">
        <v>101</v>
      </c>
      <c r="K210" s="285"/>
      <c r="L210" s="307" t="s">
        <v>102</v>
      </c>
      <c r="M210" s="285"/>
      <c r="N210" s="307" t="s">
        <v>103</v>
      </c>
      <c r="O210" s="285"/>
      <c r="P210" s="311" t="s">
        <v>104</v>
      </c>
      <c r="Q210" s="312"/>
    </row>
    <row r="211" spans="1:17" ht="18">
      <c r="A211" s="246"/>
      <c r="B211" s="259"/>
      <c r="C211" s="313"/>
      <c r="D211" s="259"/>
      <c r="E211" s="259"/>
      <c r="F211" s="313"/>
      <c r="G211" s="314"/>
      <c r="H211" s="314"/>
      <c r="I211" s="315"/>
      <c r="J211" s="259"/>
      <c r="K211" s="313"/>
      <c r="L211" s="259"/>
      <c r="M211" s="313"/>
      <c r="N211" s="259"/>
      <c r="O211" s="313"/>
      <c r="P211" s="316" t="s">
        <v>105</v>
      </c>
      <c r="Q211" s="317" t="s">
        <v>106</v>
      </c>
    </row>
    <row r="212" spans="1:17" ht="18.75" thickBot="1">
      <c r="A212" s="318"/>
      <c r="B212" s="280"/>
      <c r="C212" s="319"/>
      <c r="D212" s="280"/>
      <c r="E212" s="280"/>
      <c r="F212" s="319"/>
      <c r="G212" s="320"/>
      <c r="H212" s="320"/>
      <c r="I212" s="321"/>
      <c r="J212" s="322" t="s">
        <v>107</v>
      </c>
      <c r="K212" s="319"/>
      <c r="L212" s="322" t="s">
        <v>108</v>
      </c>
      <c r="M212" s="319"/>
      <c r="N212" s="322" t="s">
        <v>109</v>
      </c>
      <c r="O212" s="319"/>
      <c r="P212" s="323" t="s">
        <v>110</v>
      </c>
      <c r="Q212" s="324" t="s">
        <v>111</v>
      </c>
    </row>
    <row r="213" spans="1:17" ht="18">
      <c r="A213" s="325" t="s">
        <v>67</v>
      </c>
      <c r="B213" s="326"/>
      <c r="C213" s="327"/>
      <c r="D213" s="326" t="s">
        <v>67</v>
      </c>
      <c r="E213" s="326"/>
      <c r="F213" s="327"/>
      <c r="G213" s="326" t="s">
        <v>67</v>
      </c>
      <c r="H213" s="326"/>
      <c r="I213" s="327"/>
      <c r="J213" s="326" t="s">
        <v>67</v>
      </c>
      <c r="K213" s="327"/>
      <c r="L213" s="326" t="s">
        <v>67</v>
      </c>
      <c r="M213" s="327"/>
      <c r="N213" s="326" t="s">
        <v>67</v>
      </c>
      <c r="O213" s="327"/>
      <c r="P213" s="328" t="s">
        <v>67</v>
      </c>
      <c r="Q213" s="329" t="s">
        <v>67</v>
      </c>
    </row>
    <row r="214" spans="1:17">
      <c r="A214" s="330"/>
      <c r="B214" s="331"/>
      <c r="C214" s="332"/>
      <c r="D214" s="333"/>
      <c r="E214" s="331"/>
      <c r="F214" s="332"/>
      <c r="G214" s="331"/>
      <c r="H214" s="331"/>
      <c r="I214" s="332"/>
      <c r="J214" s="331"/>
      <c r="K214" s="332"/>
      <c r="L214" s="331"/>
      <c r="M214" s="332"/>
      <c r="N214" s="331"/>
      <c r="O214" s="332"/>
      <c r="P214" s="332"/>
      <c r="Q214" s="334"/>
    </row>
    <row r="215" spans="1:17">
      <c r="A215" s="330"/>
      <c r="B215" s="331"/>
      <c r="C215" s="332"/>
      <c r="D215" s="331"/>
      <c r="E215" s="331"/>
      <c r="F215" s="332"/>
      <c r="G215" s="331"/>
      <c r="H215" s="331"/>
      <c r="I215" s="332"/>
      <c r="J215" s="331"/>
      <c r="K215" s="332"/>
      <c r="L215" s="331"/>
      <c r="M215" s="332"/>
      <c r="N215" s="331"/>
      <c r="O215" s="332"/>
      <c r="P215" s="332"/>
      <c r="Q215" s="334"/>
    </row>
    <row r="216" spans="1:17">
      <c r="A216" s="335"/>
      <c r="B216" s="331"/>
      <c r="C216" s="332"/>
      <c r="D216" s="331"/>
      <c r="E216" s="331"/>
      <c r="F216" s="332"/>
      <c r="G216" s="331"/>
      <c r="H216" s="331"/>
      <c r="I216" s="332"/>
      <c r="J216" s="331"/>
      <c r="K216" s="332"/>
      <c r="L216" s="331"/>
      <c r="M216" s="332"/>
      <c r="N216" s="331"/>
      <c r="O216" s="332"/>
      <c r="P216" s="332"/>
      <c r="Q216" s="334"/>
    </row>
    <row r="217" spans="1:17">
      <c r="A217" s="335"/>
      <c r="B217" s="331"/>
      <c r="C217" s="332"/>
      <c r="D217" s="331"/>
      <c r="E217" s="331"/>
      <c r="F217" s="332"/>
      <c r="G217" s="331"/>
      <c r="H217" s="331"/>
      <c r="I217" s="332"/>
      <c r="J217" s="331"/>
      <c r="K217" s="332"/>
      <c r="L217" s="331"/>
      <c r="M217" s="332"/>
      <c r="N217" s="331"/>
      <c r="O217" s="332"/>
      <c r="P217" s="332"/>
      <c r="Q217" s="334"/>
    </row>
    <row r="218" spans="1:17">
      <c r="A218" s="335"/>
      <c r="B218" s="331"/>
      <c r="C218" s="332"/>
      <c r="D218" s="331"/>
      <c r="E218" s="331"/>
      <c r="F218" s="332"/>
      <c r="G218" s="331"/>
      <c r="H218" s="331"/>
      <c r="I218" s="332"/>
      <c r="J218" s="331"/>
      <c r="K218" s="332"/>
      <c r="L218" s="331"/>
      <c r="M218" s="332"/>
      <c r="N218" s="331"/>
      <c r="O218" s="332"/>
      <c r="P218" s="332"/>
      <c r="Q218" s="334"/>
    </row>
    <row r="219" spans="1:17">
      <c r="A219" s="335"/>
      <c r="B219" s="331"/>
      <c r="C219" s="332"/>
      <c r="D219" s="331"/>
      <c r="E219" s="331"/>
      <c r="F219" s="332"/>
      <c r="G219" s="331"/>
      <c r="H219" s="331"/>
      <c r="I219" s="332"/>
      <c r="J219" s="331"/>
      <c r="K219" s="332"/>
      <c r="L219" s="331"/>
      <c r="M219" s="332"/>
      <c r="N219" s="331"/>
      <c r="O219" s="332"/>
      <c r="P219" s="332"/>
      <c r="Q219" s="334"/>
    </row>
    <row r="220" spans="1:17">
      <c r="A220" s="335"/>
      <c r="B220" s="331"/>
      <c r="C220" s="332"/>
      <c r="D220" s="331"/>
      <c r="E220" s="331"/>
      <c r="F220" s="332"/>
      <c r="G220" s="331"/>
      <c r="H220" s="331"/>
      <c r="I220" s="332"/>
      <c r="J220" s="331"/>
      <c r="K220" s="332"/>
      <c r="L220" s="331"/>
      <c r="M220" s="332"/>
      <c r="N220" s="331"/>
      <c r="O220" s="332"/>
      <c r="P220" s="332"/>
      <c r="Q220" s="334"/>
    </row>
    <row r="221" spans="1:17">
      <c r="A221" s="335"/>
      <c r="B221" s="331"/>
      <c r="C221" s="332"/>
      <c r="D221" s="331"/>
      <c r="E221" s="331"/>
      <c r="F221" s="332"/>
      <c r="G221" s="331"/>
      <c r="H221" s="331"/>
      <c r="I221" s="332"/>
      <c r="J221" s="331"/>
      <c r="K221" s="332"/>
      <c r="L221" s="331"/>
      <c r="M221" s="332"/>
      <c r="N221" s="331"/>
      <c r="O221" s="332"/>
      <c r="P221" s="332"/>
      <c r="Q221" s="334"/>
    </row>
    <row r="222" spans="1:17">
      <c r="A222" s="335"/>
      <c r="B222" s="331"/>
      <c r="C222" s="332"/>
      <c r="D222" s="331"/>
      <c r="E222" s="331"/>
      <c r="F222" s="332"/>
      <c r="G222" s="331"/>
      <c r="H222" s="331"/>
      <c r="I222" s="332"/>
      <c r="J222" s="331"/>
      <c r="K222" s="332"/>
      <c r="L222" s="331"/>
      <c r="M222" s="332"/>
      <c r="N222" s="331"/>
      <c r="O222" s="332"/>
      <c r="P222" s="332"/>
      <c r="Q222" s="334"/>
    </row>
    <row r="223" spans="1:17" ht="15.75" thickBot="1">
      <c r="A223" s="241"/>
      <c r="B223" s="242"/>
      <c r="C223" s="336"/>
      <c r="D223" s="242"/>
      <c r="E223" s="242"/>
      <c r="F223" s="336"/>
      <c r="G223" s="242"/>
      <c r="H223" s="242"/>
      <c r="I223" s="336"/>
      <c r="J223" s="242"/>
      <c r="K223" s="336"/>
      <c r="L223" s="242"/>
      <c r="M223" s="336"/>
      <c r="N223" s="242"/>
      <c r="O223" s="336"/>
      <c r="P223" s="336"/>
      <c r="Q223" s="298"/>
    </row>
  </sheetData>
  <mergeCells count="240">
    <mergeCell ref="A213:C213"/>
    <mergeCell ref="D213:F213"/>
    <mergeCell ref="G213:I213"/>
    <mergeCell ref="J213:K213"/>
    <mergeCell ref="L213:M213"/>
    <mergeCell ref="N213:O213"/>
    <mergeCell ref="A210:C212"/>
    <mergeCell ref="D210:F212"/>
    <mergeCell ref="G210:I212"/>
    <mergeCell ref="J210:K211"/>
    <mergeCell ref="L210:M211"/>
    <mergeCell ref="N210:O211"/>
    <mergeCell ref="P210:Q210"/>
    <mergeCell ref="J212:K212"/>
    <mergeCell ref="L212:M212"/>
    <mergeCell ref="N212:O212"/>
    <mergeCell ref="A205:B205"/>
    <mergeCell ref="E205:K205"/>
    <mergeCell ref="L205:M205"/>
    <mergeCell ref="O205:Q205"/>
    <mergeCell ref="A206:B206"/>
    <mergeCell ref="L206:M206"/>
    <mergeCell ref="A208:C208"/>
    <mergeCell ref="D208:Q208"/>
    <mergeCell ref="A209:I209"/>
    <mergeCell ref="J209:Q209"/>
    <mergeCell ref="D199:K199"/>
    <mergeCell ref="N199:Q199"/>
    <mergeCell ref="A203:B203"/>
    <mergeCell ref="L203:M203"/>
    <mergeCell ref="O203:Q203"/>
    <mergeCell ref="A204:B204"/>
    <mergeCell ref="E204:K204"/>
    <mergeCell ref="L204:M204"/>
    <mergeCell ref="O204:Q204"/>
    <mergeCell ref="J195:K195"/>
    <mergeCell ref="P195:Q195"/>
    <mergeCell ref="A196:B197"/>
    <mergeCell ref="L196:M197"/>
    <mergeCell ref="C197:D197"/>
    <mergeCell ref="E197:K197"/>
    <mergeCell ref="N197:O197"/>
    <mergeCell ref="P197:Q197"/>
    <mergeCell ref="D198:K198"/>
    <mergeCell ref="N198:Q198"/>
    <mergeCell ref="A176:C177"/>
    <mergeCell ref="D176:Q177"/>
    <mergeCell ref="A178:C179"/>
    <mergeCell ref="D178:K179"/>
    <mergeCell ref="L178:M179"/>
    <mergeCell ref="N178:O179"/>
    <mergeCell ref="P178:Q179"/>
    <mergeCell ref="A181:C188"/>
    <mergeCell ref="D181:K188"/>
    <mergeCell ref="L181:M181"/>
    <mergeCell ref="N181:O181"/>
    <mergeCell ref="P181:Q181"/>
    <mergeCell ref="P167:Q167"/>
    <mergeCell ref="P168:Q168"/>
    <mergeCell ref="P169:Q169"/>
    <mergeCell ref="P170:Q170"/>
    <mergeCell ref="D171:O171"/>
    <mergeCell ref="P171:Q171"/>
    <mergeCell ref="A172:C173"/>
    <mergeCell ref="D172:Q173"/>
    <mergeCell ref="A174:C175"/>
    <mergeCell ref="D174:Q175"/>
    <mergeCell ref="A1:O1"/>
    <mergeCell ref="P1:Q1"/>
    <mergeCell ref="P2:Q2"/>
    <mergeCell ref="D3:O3"/>
    <mergeCell ref="P3:Q3"/>
    <mergeCell ref="D4:O4"/>
    <mergeCell ref="P4:Q4"/>
    <mergeCell ref="D5:O5"/>
    <mergeCell ref="P5:Q5"/>
    <mergeCell ref="P6:Q6"/>
    <mergeCell ref="A7:O7"/>
    <mergeCell ref="C8:Q8"/>
    <mergeCell ref="H10:I10"/>
    <mergeCell ref="K10:L10"/>
    <mergeCell ref="K11:O11"/>
    <mergeCell ref="P11:Q11"/>
    <mergeCell ref="K12:O12"/>
    <mergeCell ref="P12:Q12"/>
    <mergeCell ref="A8:B10"/>
    <mergeCell ref="A11:B12"/>
    <mergeCell ref="C11:J12"/>
    <mergeCell ref="B49:J49"/>
    <mergeCell ref="K49:M49"/>
    <mergeCell ref="N49:P49"/>
    <mergeCell ref="A15:J15"/>
    <mergeCell ref="K15:L15"/>
    <mergeCell ref="M15:O15"/>
    <mergeCell ref="P15:Q15"/>
    <mergeCell ref="K17:L17"/>
    <mergeCell ref="C22:D22"/>
    <mergeCell ref="G22:I22"/>
    <mergeCell ref="C23:E23"/>
    <mergeCell ref="C24:E24"/>
    <mergeCell ref="C61:J61"/>
    <mergeCell ref="M61:Q61"/>
    <mergeCell ref="C62:J62"/>
    <mergeCell ref="M62:Q62"/>
    <mergeCell ref="B65:O65"/>
    <mergeCell ref="A61:B62"/>
    <mergeCell ref="K61:L62"/>
    <mergeCell ref="A63:B64"/>
    <mergeCell ref="K63:L64"/>
    <mergeCell ref="C63:J64"/>
    <mergeCell ref="M63:Q64"/>
    <mergeCell ref="K66:O66"/>
    <mergeCell ref="K67:O67"/>
    <mergeCell ref="K68:O68"/>
    <mergeCell ref="K69:O69"/>
    <mergeCell ref="A70:O70"/>
    <mergeCell ref="A91:O91"/>
    <mergeCell ref="P91:Q91"/>
    <mergeCell ref="P92:Q92"/>
    <mergeCell ref="D93:O93"/>
    <mergeCell ref="P93:Q93"/>
    <mergeCell ref="P66:Q67"/>
    <mergeCell ref="P69:Q70"/>
    <mergeCell ref="D94:O94"/>
    <mergeCell ref="P94:Q94"/>
    <mergeCell ref="D95:O95"/>
    <mergeCell ref="P95:Q95"/>
    <mergeCell ref="P96:Q96"/>
    <mergeCell ref="A97:O97"/>
    <mergeCell ref="C98:Q98"/>
    <mergeCell ref="H100:I100"/>
    <mergeCell ref="K100:L100"/>
    <mergeCell ref="K101:O101"/>
    <mergeCell ref="P101:Q101"/>
    <mergeCell ref="K102:O102"/>
    <mergeCell ref="P102:Q102"/>
    <mergeCell ref="A105:J105"/>
    <mergeCell ref="K105:L105"/>
    <mergeCell ref="M105:O105"/>
    <mergeCell ref="P105:Q105"/>
    <mergeCell ref="K107:L107"/>
    <mergeCell ref="C113:D113"/>
    <mergeCell ref="G113:I113"/>
    <mergeCell ref="C114:D114"/>
    <mergeCell ref="G114:I114"/>
    <mergeCell ref="C115:D115"/>
    <mergeCell ref="G115:I115"/>
    <mergeCell ref="C116:D116"/>
    <mergeCell ref="G116:I116"/>
    <mergeCell ref="C117:D117"/>
    <mergeCell ref="G117:I117"/>
    <mergeCell ref="K140:L141"/>
    <mergeCell ref="C140:J141"/>
    <mergeCell ref="M140:Q141"/>
    <mergeCell ref="A142:B143"/>
    <mergeCell ref="K142:L143"/>
    <mergeCell ref="C143:J143"/>
    <mergeCell ref="M143:Q143"/>
    <mergeCell ref="C118:I118"/>
    <mergeCell ref="A120:J120"/>
    <mergeCell ref="B121:Q121"/>
    <mergeCell ref="A126:Q126"/>
    <mergeCell ref="A127:Q127"/>
    <mergeCell ref="A129:J129"/>
    <mergeCell ref="K129:M129"/>
    <mergeCell ref="B130:J130"/>
    <mergeCell ref="K130:M130"/>
    <mergeCell ref="N130:P130"/>
    <mergeCell ref="A101:B102"/>
    <mergeCell ref="C101:J102"/>
    <mergeCell ref="A103:B104"/>
    <mergeCell ref="C103:Q104"/>
    <mergeCell ref="A106:J112"/>
    <mergeCell ref="A144:B145"/>
    <mergeCell ref="K144:L145"/>
    <mergeCell ref="C144:J145"/>
    <mergeCell ref="M144:Q145"/>
    <mergeCell ref="B131:J131"/>
    <mergeCell ref="K131:M131"/>
    <mergeCell ref="N131:P131"/>
    <mergeCell ref="B132:J132"/>
    <mergeCell ref="K132:M132"/>
    <mergeCell ref="B133:J133"/>
    <mergeCell ref="L133:Q133"/>
    <mergeCell ref="C142:J142"/>
    <mergeCell ref="M142:Q142"/>
    <mergeCell ref="K134:Q137"/>
    <mergeCell ref="A138:B139"/>
    <mergeCell ref="K138:L139"/>
    <mergeCell ref="C138:J139"/>
    <mergeCell ref="M138:Q139"/>
    <mergeCell ref="A140:B141"/>
    <mergeCell ref="A13:B14"/>
    <mergeCell ref="C13:Q14"/>
    <mergeCell ref="B17:J20"/>
    <mergeCell ref="K53:Q56"/>
    <mergeCell ref="A57:B58"/>
    <mergeCell ref="K57:L58"/>
    <mergeCell ref="C57:J58"/>
    <mergeCell ref="M57:Q58"/>
    <mergeCell ref="A59:B60"/>
    <mergeCell ref="K59:L60"/>
    <mergeCell ref="C59:J60"/>
    <mergeCell ref="M59:Q60"/>
    <mergeCell ref="B51:J51"/>
    <mergeCell ref="K51:M51"/>
    <mergeCell ref="B52:J52"/>
    <mergeCell ref="L52:Q52"/>
    <mergeCell ref="C25:E25"/>
    <mergeCell ref="C26:E26"/>
    <mergeCell ref="A39:J39"/>
    <mergeCell ref="B40:Q40"/>
    <mergeCell ref="A45:Q45"/>
    <mergeCell ref="A46:Q46"/>
    <mergeCell ref="A48:J48"/>
    <mergeCell ref="K48:M48"/>
    <mergeCell ref="A147:B148"/>
    <mergeCell ref="C147:I148"/>
    <mergeCell ref="P147:Q148"/>
    <mergeCell ref="A149:B150"/>
    <mergeCell ref="C149:I150"/>
    <mergeCell ref="P150:Q151"/>
    <mergeCell ref="D35:E35"/>
    <mergeCell ref="D36:E36"/>
    <mergeCell ref="D37:E37"/>
    <mergeCell ref="B146:O146"/>
    <mergeCell ref="K147:O147"/>
    <mergeCell ref="K148:O148"/>
    <mergeCell ref="K149:O149"/>
    <mergeCell ref="K150:O150"/>
    <mergeCell ref="A151:O151"/>
    <mergeCell ref="J66:J67"/>
    <mergeCell ref="J68:J69"/>
    <mergeCell ref="J147:J148"/>
    <mergeCell ref="J149:J150"/>
    <mergeCell ref="A66:B67"/>
    <mergeCell ref="C66:I67"/>
    <mergeCell ref="A68:B69"/>
    <mergeCell ref="C68:I69"/>
    <mergeCell ref="A98:B100"/>
  </mergeCells>
  <printOptions horizontalCentered="1"/>
  <pageMargins left="0.25" right="0.2" top="0.2" bottom="0.75" header="0.3" footer="0.3"/>
  <pageSetup paperSize="9" scale="5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2025-03-23T07:23:55Z</cp:lastPrinted>
  <dcterms:created xsi:type="dcterms:W3CDTF">2024-12-20T12:07:00Z</dcterms:created>
  <dcterms:modified xsi:type="dcterms:W3CDTF">2025-04-19T01:16:15Z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412EB1FEA47045C8A9F1E61234BA816E_11</vt:lpwstr>
  </property>
  <property fmtid="{D5CDD505-2E9C-101B-9397-08002B2CF9AE}" pid="3" name="KSOProductBuildVer">
    <vt:lpwstr>2057-12.2.0.19821</vt:lpwstr>
  </property>
</Properties>
</file>