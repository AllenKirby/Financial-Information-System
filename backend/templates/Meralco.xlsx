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personal\folderFIS\Financial-Information-System\backend\templates\"/>
    </mc:Choice>
  </mc:AlternateContent>
  <xr:revisionPtr revIDLastSave="0" documentId="13_ncr:1_{337EAFE5-DF2F-4DFA-BA21-B0BFC539F68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meralcobir" sheetId="2" r:id="rId2"/>
  </sheets>
  <calcPr calcId="191029"/>
</workbook>
</file>

<file path=xl/calcChain.xml><?xml version="1.0" encoding="utf-8"?>
<calcChain xmlns="http://schemas.openxmlformats.org/spreadsheetml/2006/main">
  <c r="Q117" i="2" l="1"/>
  <c r="E30" i="2"/>
  <c r="C29" i="2"/>
  <c r="C30" i="2" s="1"/>
  <c r="G30" i="2" s="1"/>
  <c r="Q17" i="2"/>
  <c r="Q194" i="1"/>
  <c r="Q117" i="1"/>
  <c r="E30" i="1"/>
  <c r="C29" i="1"/>
  <c r="G29" i="1" s="1"/>
  <c r="G31" i="1" s="1"/>
  <c r="Q31" i="1" s="1"/>
  <c r="Q17" i="1"/>
  <c r="G29" i="2" l="1"/>
  <c r="G31" i="2" s="1"/>
  <c r="Q31" i="2" s="1"/>
  <c r="Q38" i="2" s="1"/>
  <c r="N48" i="2" s="1"/>
  <c r="Q50" i="2" s="1"/>
  <c r="Q38" i="1"/>
  <c r="N48" i="1" s="1"/>
  <c r="Q50" i="1" s="1"/>
  <c r="C30" i="1"/>
  <c r="G30" i="1" s="1"/>
</calcChain>
</file>

<file path=xl/sharedStrings.xml><?xml version="1.0" encoding="utf-8"?>
<sst xmlns="http://schemas.openxmlformats.org/spreadsheetml/2006/main" count="439" uniqueCount="113">
  <si>
    <t xml:space="preserve"> Fund Cluster :  </t>
  </si>
  <si>
    <t xml:space="preserve"> Date :</t>
  </si>
  <si>
    <t>DV No.:</t>
  </si>
  <si>
    <t xml:space="preserve">                      DISBURSEMENT VOUCHER</t>
  </si>
  <si>
    <t>Mode of Payment</t>
  </si>
  <si>
    <t>MDS Check</t>
  </si>
  <si>
    <t>Commercial Check</t>
  </si>
  <si>
    <t>ADA</t>
  </si>
  <si>
    <t>√</t>
  </si>
  <si>
    <t>Others (Please specify) - LCCA</t>
  </si>
  <si>
    <t>Payee</t>
  </si>
  <si>
    <t xml:space="preserve">TIN/Employee No.: </t>
  </si>
  <si>
    <t xml:space="preserve">ORS/BURS No.: </t>
  </si>
  <si>
    <t>Address</t>
  </si>
  <si>
    <t>Particulars</t>
  </si>
  <si>
    <t>MFO/PAP</t>
  </si>
  <si>
    <t>Amount</t>
  </si>
  <si>
    <t xml:space="preserve">                  To Payment of Eelectricity Bill for the period : __________________________________ , as per attached supporting documents in the amount of . . . . . </t>
  </si>
  <si>
    <t>₱</t>
  </si>
  <si>
    <t>Customer Account No. :</t>
  </si>
  <si>
    <t>Meter No:</t>
  </si>
  <si>
    <t>Billing Statement No.</t>
  </si>
  <si>
    <t>Tax Base :</t>
  </si>
  <si>
    <t>x 5%</t>
  </si>
  <si>
    <t>+</t>
  </si>
  <si>
    <t>x 2%</t>
  </si>
  <si>
    <t xml:space="preserve">Due Date: </t>
  </si>
  <si>
    <t>__________________________</t>
  </si>
  <si>
    <t>REF No.:</t>
  </si>
  <si>
    <t>ASA NO.:</t>
  </si>
  <si>
    <t>Amount Due</t>
  </si>
  <si>
    <t>A.</t>
  </si>
  <si>
    <t xml:space="preserve"> Certified:  Expenses/Cash Advance necessary,  lawful and  incurred under my direct supervision.</t>
  </si>
  <si>
    <t xml:space="preserve">  </t>
  </si>
  <si>
    <t>Division Manager-Administrative and Finance Division</t>
  </si>
  <si>
    <t>B.</t>
  </si>
  <si>
    <t xml:space="preserve"> Accounting Entry:</t>
  </si>
  <si>
    <t>Account Title</t>
  </si>
  <si>
    <t>UACS Code</t>
  </si>
  <si>
    <t>DEBIT</t>
  </si>
  <si>
    <t>CREDIT</t>
  </si>
  <si>
    <t>Cash-in-Bank Current Account</t>
  </si>
  <si>
    <t>1-01-02-020</t>
  </si>
  <si>
    <t xml:space="preserve">            Cash - in- Bank</t>
  </si>
  <si>
    <t>C.</t>
  </si>
  <si>
    <t>Certified:</t>
  </si>
  <si>
    <t xml:space="preserve">D. </t>
  </si>
  <si>
    <t>Approved for Payment</t>
  </si>
  <si>
    <t xml:space="preserve"> Cash available</t>
  </si>
  <si>
    <t>NINETY FOUR THOUSAND FOUR HUNDRED EIGHTY NINE PESOS &amp; 60/100</t>
  </si>
  <si>
    <t xml:space="preserve"> Subject to Authority to Debit Account (when applicable)</t>
  </si>
  <si>
    <t xml:space="preserve"> Supporting documents complete and amount claimed </t>
  </si>
  <si>
    <t>proper</t>
  </si>
  <si>
    <t>Signature</t>
  </si>
  <si>
    <t>Printed Name</t>
  </si>
  <si>
    <t>Position</t>
  </si>
  <si>
    <t>Chief Corporate Accountant B</t>
  </si>
  <si>
    <t>Regional Manager A</t>
  </si>
  <si>
    <t>Head, Accounting Unit/Authorized Representative</t>
  </si>
  <si>
    <t>Agency Head/Authorized Representative</t>
  </si>
  <si>
    <t>Date</t>
  </si>
  <si>
    <t xml:space="preserve">E. </t>
  </si>
  <si>
    <t xml:space="preserve">Receipt of Payment </t>
  </si>
  <si>
    <t>JEV  No.</t>
  </si>
  <si>
    <t>Check/ ADA No. :</t>
  </si>
  <si>
    <t>Date :</t>
  </si>
  <si>
    <t>Bank Name &amp; Account Number:</t>
  </si>
  <si>
    <t>N/A</t>
  </si>
  <si>
    <t>Signature :</t>
  </si>
  <si>
    <t>Printed Name:</t>
  </si>
  <si>
    <t>Official Receipt No. &amp; Date/Other Documents</t>
  </si>
  <si>
    <t>Fund Cluster:</t>
  </si>
  <si>
    <t xml:space="preserve"> Date:</t>
  </si>
  <si>
    <t>BIR</t>
  </si>
  <si>
    <t>Calamba, City</t>
  </si>
  <si>
    <t>RO</t>
  </si>
  <si>
    <t xml:space="preserve">            </t>
  </si>
  <si>
    <t>2 02 01 010</t>
  </si>
  <si>
    <t>O</t>
  </si>
  <si>
    <t xml:space="preserve">                             Budget Utilization Request and Status</t>
  </si>
  <si>
    <t>Office</t>
  </si>
  <si>
    <t>Responsibility Center</t>
  </si>
  <si>
    <t>Total</t>
  </si>
  <si>
    <t>Charges to appropriation/budget necessary,</t>
  </si>
  <si>
    <t>Budget available and utilized for</t>
  </si>
  <si>
    <t>lawful and under my direct supervision; and supporting</t>
  </si>
  <si>
    <t xml:space="preserve"> the purpose/adjustment necessary as  </t>
  </si>
  <si>
    <t xml:space="preserve"> documents valid, proper and legal</t>
  </si>
  <si>
    <t xml:space="preserve"> indicated above</t>
  </si>
  <si>
    <t>Signature           :</t>
  </si>
  <si>
    <t>Printed Name   :</t>
  </si>
  <si>
    <t>ERWIN M. LUCELA</t>
  </si>
  <si>
    <t>ADELIA I. LOPEZ</t>
  </si>
  <si>
    <t>Position             :</t>
  </si>
  <si>
    <t xml:space="preserve"> Division Manager A, EOD</t>
  </si>
  <si>
    <t>Financial Planning Specialist B</t>
  </si>
  <si>
    <t>Date                    :</t>
  </si>
  <si>
    <t>BSF-</t>
  </si>
  <si>
    <r>
      <rPr>
        <b/>
        <sz val="14"/>
        <color theme="1"/>
        <rFont val="Cambria"/>
        <charset val="134"/>
      </rPr>
      <t>BEM</t>
    </r>
    <r>
      <rPr>
        <sz val="14"/>
        <color theme="1"/>
        <rFont val="Cambria"/>
        <charset val="134"/>
      </rPr>
      <t>-</t>
    </r>
  </si>
  <si>
    <t>Status of Utilization</t>
  </si>
  <si>
    <t>Reference</t>
  </si>
  <si>
    <t>BURS/JEV/RCI/        RADAI/RTRAI No.</t>
  </si>
  <si>
    <t>Utilization</t>
  </si>
  <si>
    <t>Payable</t>
  </si>
  <si>
    <t>Payment</t>
  </si>
  <si>
    <t>Balance</t>
  </si>
  <si>
    <t>Not Yet Due</t>
  </si>
  <si>
    <t>Due to Demandable</t>
  </si>
  <si>
    <t>(a)</t>
  </si>
  <si>
    <t>(b)</t>
  </si>
  <si>
    <t>(c)</t>
  </si>
  <si>
    <t>(a-b)</t>
  </si>
  <si>
    <t>(b-c)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</si>
</sst>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dd\-mmm\-yy"/>
    <numFmt numFmtId="165" formatCode="_-* #,##0.00_-;\-* #,##0.00_-;_-* &quot;-&quot;??_-;_-@"/>
  </numFmts>
  <fonts count="28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1"/>
      <name val="Calibri"/>
      <charset val="134"/>
      <scheme val="minor"/>
    </font>
    <font>
      <sz val="10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sz val="14"/>
      <color theme="1"/>
      <name val="Cambria"/>
      <charset val="134"/>
    </font>
    <font>
      <sz val="11"/>
      <color theme="1"/>
      <name val="Cambria"/>
      <charset val="134"/>
    </font>
    <font>
      <b/>
      <i/>
      <u/>
      <sz val="11"/>
      <color theme="1"/>
      <name val="Cambria"/>
      <charset val="134"/>
    </font>
    <font>
      <b/>
      <sz val="11"/>
      <color theme="1"/>
      <name val="Cambria"/>
      <charset val="134"/>
    </font>
    <font>
      <i/>
      <sz val="11"/>
      <color theme="1"/>
      <name val="Cambria"/>
      <charset val="134"/>
    </font>
    <font>
      <b/>
      <i/>
      <sz val="12"/>
      <color rgb="FF000000"/>
      <name val="Cambria"/>
      <charset val="134"/>
    </font>
    <font>
      <i/>
      <sz val="12"/>
      <color rgb="FF000000"/>
      <name val="Cambria"/>
      <charset val="134"/>
    </font>
    <font>
      <b/>
      <u/>
      <sz val="16"/>
      <color theme="1"/>
      <name val="Cambria"/>
      <charset val="134"/>
    </font>
    <font>
      <i/>
      <sz val="16"/>
      <color theme="1"/>
      <name val="Cambria"/>
      <charset val="134"/>
    </font>
    <font>
      <sz val="16"/>
      <color theme="1"/>
      <name val="Cambria"/>
      <charset val="134"/>
    </font>
    <font>
      <i/>
      <sz val="12"/>
      <color theme="1"/>
      <name val="Cambria"/>
      <charset val="134"/>
    </font>
    <font>
      <b/>
      <i/>
      <sz val="11"/>
      <color theme="1"/>
      <name val="Cambria"/>
      <charset val="134"/>
    </font>
    <font>
      <sz val="12"/>
      <color rgb="FF000000"/>
      <name val="Cambria"/>
      <charset val="134"/>
    </font>
    <font>
      <b/>
      <sz val="8"/>
      <color rgb="FF000000"/>
      <name val="Aptos Narrow"/>
      <charset val="134"/>
    </font>
    <font>
      <sz val="8"/>
      <color rgb="FF000000"/>
      <name val="Aptos Narrow"/>
      <charset val="134"/>
    </font>
    <font>
      <sz val="8"/>
      <color theme="1"/>
      <name val="Cambria"/>
      <charset val="134"/>
    </font>
    <font>
      <sz val="14"/>
      <color theme="1"/>
      <name val="Calibri"/>
      <charset val="134"/>
      <scheme val="minor"/>
    </font>
    <font>
      <b/>
      <i/>
      <sz val="12"/>
      <color theme="1"/>
      <name val="Cambria"/>
      <charset val="134"/>
    </font>
    <font>
      <sz val="14"/>
      <name val="Calibri"/>
      <charset val="134"/>
      <scheme val="minor"/>
    </font>
    <font>
      <sz val="16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8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/>
      <right style="thin">
        <color auto="1"/>
      </right>
      <top style="medium">
        <color auto="1"/>
      </top>
      <bottom style="dotted">
        <color auto="1"/>
      </bottom>
      <diagonal/>
    </border>
    <border>
      <left/>
      <right style="medium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/>
      <top/>
      <bottom style="dotted">
        <color auto="1"/>
      </bottom>
      <diagonal/>
    </border>
  </borders>
  <cellStyleXfs count="1">
    <xf numFmtId="0" fontId="0" fillId="0" borderId="0">
      <alignment vertical="center"/>
    </xf>
  </cellStyleXfs>
  <cellXfs count="335">
    <xf numFmtId="0" fontId="0" fillId="0" borderId="0" xfId="0">
      <alignment vertical="center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0" xfId="0" applyFont="1">
      <alignment vertical="center"/>
    </xf>
    <xf numFmtId="0" fontId="4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>
      <alignment vertical="center"/>
    </xf>
    <xf numFmtId="0" fontId="4" fillId="0" borderId="14" xfId="0" applyFont="1" applyBorder="1" applyAlignment="1">
      <alignment horizontal="left" vertical="center" wrapText="1"/>
    </xf>
    <xf numFmtId="0" fontId="4" fillId="0" borderId="15" xfId="0" applyFont="1" applyBorder="1">
      <alignment vertical="center"/>
    </xf>
    <xf numFmtId="0" fontId="8" fillId="0" borderId="3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0" fontId="9" fillId="0" borderId="0" xfId="0" applyFont="1">
      <alignment vertical="center"/>
    </xf>
    <xf numFmtId="43" fontId="10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center" vertical="center"/>
    </xf>
    <xf numFmtId="43" fontId="9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43" fontId="10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43" fontId="9" fillId="0" borderId="0" xfId="0" applyNumberFormat="1" applyFont="1">
      <alignment vertical="center"/>
    </xf>
    <xf numFmtId="43" fontId="12" fillId="0" borderId="0" xfId="0" applyNumberFormat="1" applyFont="1" applyAlignment="1">
      <alignment horizontal="center" vertical="center"/>
    </xf>
    <xf numFmtId="43" fontId="12" fillId="0" borderId="0" xfId="0" applyNumberFormat="1" applyFont="1">
      <alignment vertical="center"/>
    </xf>
    <xf numFmtId="43" fontId="12" fillId="0" borderId="19" xfId="0" applyNumberFormat="1" applyFont="1" applyBorder="1">
      <alignment vertical="center"/>
    </xf>
    <xf numFmtId="4" fontId="9" fillId="0" borderId="0" xfId="0" applyNumberFormat="1" applyFont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" fillId="0" borderId="20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1" fillId="0" borderId="18" xfId="0" applyFont="1" applyBorder="1">
      <alignment vertical="center"/>
    </xf>
    <xf numFmtId="0" fontId="8" fillId="0" borderId="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5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4" fillId="0" borderId="9" xfId="0" applyFont="1" applyBorder="1" applyAlignment="1">
      <alignment horizontal="left" vertical="center"/>
    </xf>
    <xf numFmtId="0" fontId="8" fillId="0" borderId="10" xfId="0" applyFont="1" applyBorder="1">
      <alignment vertical="center"/>
    </xf>
    <xf numFmtId="0" fontId="1" fillId="0" borderId="28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>
      <alignment vertical="center"/>
    </xf>
    <xf numFmtId="0" fontId="4" fillId="0" borderId="30" xfId="0" applyFont="1" applyBorder="1">
      <alignment vertical="center"/>
    </xf>
    <xf numFmtId="0" fontId="1" fillId="0" borderId="30" xfId="0" applyFont="1" applyBorder="1" applyAlignment="1">
      <alignment horizontal="right" vertical="center"/>
    </xf>
    <xf numFmtId="0" fontId="4" fillId="0" borderId="16" xfId="0" applyFont="1" applyBorder="1" applyAlignment="1">
      <alignment vertical="center" wrapText="1"/>
    </xf>
    <xf numFmtId="0" fontId="1" fillId="0" borderId="31" xfId="0" applyFont="1" applyBorder="1" applyAlignment="1">
      <alignment horizontal="right" vertical="center"/>
    </xf>
    <xf numFmtId="165" fontId="4" fillId="0" borderId="7" xfId="0" applyNumberFormat="1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31" xfId="0" applyFont="1" applyBorder="1">
      <alignment vertical="center"/>
    </xf>
    <xf numFmtId="0" fontId="4" fillId="0" borderId="31" xfId="0" applyFont="1" applyBorder="1" applyAlignment="1">
      <alignment vertical="center" wrapText="1"/>
    </xf>
    <xf numFmtId="4" fontId="4" fillId="0" borderId="7" xfId="0" applyNumberFormat="1" applyFont="1" applyBorder="1" applyAlignment="1">
      <alignment vertical="center" wrapText="1"/>
    </xf>
    <xf numFmtId="0" fontId="9" fillId="0" borderId="31" xfId="0" applyFont="1" applyBorder="1" applyAlignment="1">
      <alignment vertical="center" wrapText="1"/>
    </xf>
    <xf numFmtId="43" fontId="12" fillId="0" borderId="31" xfId="0" applyNumberFormat="1" applyFont="1" applyBorder="1" applyAlignment="1">
      <alignment vertical="center" wrapText="1"/>
    </xf>
    <xf numFmtId="43" fontId="4" fillId="0" borderId="7" xfId="0" applyNumberFormat="1" applyFont="1" applyBorder="1" applyAlignment="1">
      <alignment vertical="center" wrapText="1"/>
    </xf>
    <xf numFmtId="43" fontId="19" fillId="0" borderId="31" xfId="0" applyNumberFormat="1" applyFont="1" applyBorder="1" applyAlignment="1">
      <alignment vertical="center" wrapText="1"/>
    </xf>
    <xf numFmtId="0" fontId="20" fillId="0" borderId="0" xfId="0" applyFont="1">
      <alignment vertical="center"/>
    </xf>
    <xf numFmtId="0" fontId="20" fillId="0" borderId="31" xfId="0" applyFont="1" applyBorder="1">
      <alignment vertical="center"/>
    </xf>
    <xf numFmtId="0" fontId="20" fillId="0" borderId="7" xfId="0" applyFont="1" applyBorder="1">
      <alignment vertical="center"/>
    </xf>
    <xf numFmtId="0" fontId="20" fillId="0" borderId="7" xfId="0" applyFont="1" applyBorder="1" applyAlignment="1">
      <alignment vertical="center" wrapText="1"/>
    </xf>
    <xf numFmtId="0" fontId="4" fillId="0" borderId="11" xfId="0" applyFont="1" applyBorder="1">
      <alignment vertical="center"/>
    </xf>
    <xf numFmtId="0" fontId="4" fillId="0" borderId="32" xfId="0" applyFont="1" applyBorder="1">
      <alignment vertical="center"/>
    </xf>
    <xf numFmtId="0" fontId="1" fillId="0" borderId="32" xfId="0" applyFont="1" applyBorder="1" applyAlignment="1">
      <alignment horizontal="right" vertical="center"/>
    </xf>
    <xf numFmtId="43" fontId="1" fillId="0" borderId="33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43" fontId="1" fillId="0" borderId="0" xfId="0" applyNumberFormat="1" applyFont="1" applyAlignment="1">
      <alignment horizontal="center" vertical="center" wrapText="1"/>
    </xf>
    <xf numFmtId="0" fontId="1" fillId="0" borderId="3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43" fontId="8" fillId="0" borderId="31" xfId="0" applyNumberFormat="1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8" fillId="0" borderId="32" xfId="0" applyFont="1" applyBorder="1" applyAlignment="1">
      <alignment vertical="center" wrapText="1"/>
    </xf>
    <xf numFmtId="0" fontId="1" fillId="0" borderId="9" xfId="0" applyFont="1" applyBorder="1">
      <alignment vertical="center"/>
    </xf>
    <xf numFmtId="0" fontId="4" fillId="0" borderId="2" xfId="0" applyFont="1" applyBorder="1">
      <alignment vertical="center"/>
    </xf>
    <xf numFmtId="0" fontId="1" fillId="0" borderId="40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43" fontId="4" fillId="0" borderId="38" xfId="0" applyNumberFormat="1" applyFont="1" applyBorder="1" applyAlignment="1">
      <alignment horizontal="center" vertical="center" wrapText="1"/>
    </xf>
    <xf numFmtId="43" fontId="4" fillId="0" borderId="28" xfId="0" applyNumberFormat="1" applyFont="1" applyBorder="1" applyAlignment="1">
      <alignment horizontal="center" vertical="center" wrapText="1"/>
    </xf>
    <xf numFmtId="43" fontId="4" fillId="0" borderId="28" xfId="0" applyNumberFormat="1" applyFont="1" applyBorder="1" applyAlignment="1">
      <alignment vertical="center" wrapText="1"/>
    </xf>
    <xf numFmtId="43" fontId="20" fillId="0" borderId="28" xfId="0" applyNumberFormat="1" applyFont="1" applyBorder="1" applyAlignment="1">
      <alignment vertical="center" wrapText="1"/>
    </xf>
    <xf numFmtId="0" fontId="4" fillId="0" borderId="28" xfId="0" applyFont="1" applyBorder="1">
      <alignment vertical="center"/>
    </xf>
    <xf numFmtId="43" fontId="1" fillId="0" borderId="43" xfId="0" applyNumberFormat="1" applyFont="1" applyBorder="1" applyAlignment="1">
      <alignment horizontal="center" vertical="center" wrapText="1"/>
    </xf>
    <xf numFmtId="0" fontId="1" fillId="0" borderId="42" xfId="0" applyFont="1" applyBorder="1">
      <alignment vertical="center"/>
    </xf>
    <xf numFmtId="0" fontId="1" fillId="0" borderId="44" xfId="0" applyFont="1" applyBorder="1" applyAlignment="1">
      <alignment horizontal="center" vertical="center" wrapText="1"/>
    </xf>
    <xf numFmtId="165" fontId="8" fillId="0" borderId="28" xfId="0" applyNumberFormat="1" applyFont="1" applyBorder="1" applyAlignment="1">
      <alignment horizontal="center" vertical="center" wrapText="1"/>
    </xf>
    <xf numFmtId="165" fontId="8" fillId="0" borderId="41" xfId="0" applyNumberFormat="1" applyFont="1" applyBorder="1" applyAlignment="1">
      <alignment horizontal="center" vertical="center" wrapText="1"/>
    </xf>
    <xf numFmtId="0" fontId="4" fillId="0" borderId="27" xfId="0" applyFont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 applyAlignment="1"/>
    <xf numFmtId="43" fontId="12" fillId="0" borderId="0" xfId="0" applyNumberFormat="1" applyFont="1" applyAlignment="1">
      <alignment horizontal="center" vertical="center" wrapText="1"/>
    </xf>
    <xf numFmtId="4" fontId="12" fillId="0" borderId="0" xfId="0" applyNumberFormat="1" applyFont="1" applyAlignment="1">
      <alignment horizontal="center" vertical="center" wrapText="1"/>
    </xf>
    <xf numFmtId="43" fontId="18" fillId="0" borderId="31" xfId="0" applyNumberFormat="1" applyFont="1" applyBorder="1" applyAlignment="1">
      <alignment vertical="center" wrapText="1"/>
    </xf>
    <xf numFmtId="43" fontId="25" fillId="0" borderId="31" xfId="0" applyNumberFormat="1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43" fontId="8" fillId="0" borderId="28" xfId="0" applyNumberFormat="1" applyFont="1" applyBorder="1" applyAlignment="1">
      <alignment horizontal="center" vertical="center" wrapText="1"/>
    </xf>
    <xf numFmtId="43" fontId="5" fillId="0" borderId="43" xfId="0" applyNumberFormat="1" applyFont="1" applyBorder="1" applyAlignment="1">
      <alignment horizontal="center" vertical="center" wrapText="1"/>
    </xf>
    <xf numFmtId="43" fontId="9" fillId="0" borderId="0" xfId="0" quotePrefix="1" applyNumberFormat="1" applyFont="1">
      <alignment vertical="center"/>
    </xf>
    <xf numFmtId="43" fontId="12" fillId="0" borderId="0" xfId="0" quotePrefix="1" applyNumberFormat="1" applyFont="1" applyAlignment="1">
      <alignment horizontal="center" vertical="center"/>
    </xf>
    <xf numFmtId="43" fontId="9" fillId="0" borderId="0" xfId="0" quotePrefix="1" applyNumberFormat="1" applyFont="1" applyAlignment="1">
      <alignment horizontal="left" vertical="center"/>
    </xf>
    <xf numFmtId="0" fontId="4" fillId="0" borderId="14" xfId="0" applyFont="1" applyBorder="1" applyAlignment="1">
      <alignment horizontal="left" vertical="top" wrapText="1"/>
    </xf>
    <xf numFmtId="0" fontId="2" fillId="0" borderId="15" xfId="0" applyFont="1" applyBorder="1" applyAlignment="1"/>
    <xf numFmtId="0" fontId="2" fillId="0" borderId="21" xfId="0" applyFont="1" applyBorder="1" applyAlignment="1"/>
    <xf numFmtId="0" fontId="2" fillId="0" borderId="13" xfId="0" applyFont="1" applyBorder="1" applyAlignment="1"/>
    <xf numFmtId="0" fontId="4" fillId="0" borderId="16" xfId="0" applyFont="1" applyBorder="1" applyAlignment="1">
      <alignment vertical="center" wrapText="1"/>
    </xf>
    <xf numFmtId="0" fontId="2" fillId="0" borderId="30" xfId="0" applyFont="1" applyBorder="1" applyAlignment="1"/>
    <xf numFmtId="0" fontId="2" fillId="0" borderId="12" xfId="0" applyFont="1" applyBorder="1" applyAlignment="1"/>
    <xf numFmtId="0" fontId="2" fillId="0" borderId="37" xfId="0" applyFont="1" applyBorder="1" applyAlignment="1"/>
    <xf numFmtId="0" fontId="4" fillId="0" borderId="7" xfId="0" applyFont="1" applyBorder="1" applyAlignment="1">
      <alignment horizontal="center" vertical="center" wrapText="1"/>
    </xf>
    <xf numFmtId="0" fontId="2" fillId="0" borderId="28" xfId="0" applyFont="1" applyBorder="1" applyAlignment="1"/>
    <xf numFmtId="0" fontId="2" fillId="0" borderId="39" xfId="0" applyFont="1" applyBorder="1" applyAlignment="1"/>
    <xf numFmtId="0" fontId="2" fillId="0" borderId="11" xfId="0" applyFont="1" applyBorder="1" applyAlignment="1"/>
    <xf numFmtId="0" fontId="2" fillId="0" borderId="41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2" fillId="0" borderId="9" xfId="0" applyFont="1" applyBorder="1" applyAlignment="1"/>
    <xf numFmtId="0" fontId="2" fillId="0" borderId="10" xfId="0" applyFont="1" applyBorder="1" applyAlignment="1"/>
    <xf numFmtId="0" fontId="7" fillId="0" borderId="16" xfId="0" applyFont="1" applyBorder="1" applyAlignment="1">
      <alignment horizontal="left" vertical="center" wrapText="1"/>
    </xf>
    <xf numFmtId="0" fontId="2" fillId="0" borderId="38" xfId="0" applyFont="1" applyBorder="1" applyAlignment="1"/>
    <xf numFmtId="0" fontId="8" fillId="0" borderId="14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2" fillId="0" borderId="2" xfId="0" applyFont="1" applyBorder="1" applyAlignment="1"/>
    <xf numFmtId="0" fontId="2" fillId="0" borderId="27" xfId="0" applyFont="1" applyBorder="1" applyAlignment="1"/>
    <xf numFmtId="0" fontId="2" fillId="0" borderId="3" xfId="0" applyFont="1" applyBorder="1" applyAlignment="1"/>
    <xf numFmtId="0" fontId="0" fillId="0" borderId="0" xfId="0" applyAlignment="1"/>
    <xf numFmtId="0" fontId="4" fillId="0" borderId="1" xfId="0" applyFont="1" applyBorder="1" applyAlignment="1">
      <alignment horizontal="left" vertical="top" wrapText="1"/>
    </xf>
    <xf numFmtId="0" fontId="2" fillId="0" borderId="36" xfId="0" applyFont="1" applyBorder="1" applyAlignment="1"/>
    <xf numFmtId="0" fontId="4" fillId="0" borderId="6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8" fillId="0" borderId="14" xfId="0" applyFont="1" applyBorder="1" applyAlignment="1">
      <alignment vertical="center" wrapText="1"/>
    </xf>
    <xf numFmtId="0" fontId="8" fillId="0" borderId="14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2" fillId="0" borderId="31" xfId="0" applyFont="1" applyBorder="1" applyAlignment="1"/>
    <xf numFmtId="0" fontId="4" fillId="0" borderId="14" xfId="0" applyFont="1" applyBorder="1" applyAlignment="1">
      <alignment horizontal="left" vertical="center" wrapText="1"/>
    </xf>
    <xf numFmtId="0" fontId="2" fillId="0" borderId="32" xfId="0" applyFont="1" applyBorder="1" applyAlignment="1"/>
    <xf numFmtId="0" fontId="18" fillId="0" borderId="16" xfId="0" applyFont="1" applyBorder="1" applyAlignment="1">
      <alignment vertical="center" wrapText="1"/>
    </xf>
    <xf numFmtId="0" fontId="18" fillId="0" borderId="15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45" xfId="0" applyFont="1" applyBorder="1" applyAlignment="1">
      <alignment vertical="center" wrapText="1"/>
    </xf>
    <xf numFmtId="0" fontId="2" fillId="0" borderId="19" xfId="0" applyFont="1" applyBorder="1" applyAlignment="1"/>
    <xf numFmtId="0" fontId="2" fillId="0" borderId="46" xfId="0" applyFont="1" applyBorder="1" applyAlignment="1"/>
    <xf numFmtId="0" fontId="4" fillId="0" borderId="16" xfId="0" applyFont="1" applyBorder="1" applyAlignment="1">
      <alignment vertical="top" wrapText="1"/>
    </xf>
    <xf numFmtId="0" fontId="1" fillId="0" borderId="1" xfId="0" applyFont="1" applyBorder="1" applyAlignment="1">
      <alignment vertical="center" wrapText="1"/>
    </xf>
    <xf numFmtId="0" fontId="7" fillId="0" borderId="6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1" xfId="0" quotePrefix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>
      <alignment vertical="center"/>
    </xf>
    <xf numFmtId="0" fontId="16" fillId="0" borderId="16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left" vertical="center"/>
    </xf>
    <xf numFmtId="0" fontId="2" fillId="0" borderId="18" xfId="0" applyFont="1" applyBorder="1" applyAlignment="1"/>
    <xf numFmtId="0" fontId="2" fillId="0" borderId="29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/>
    <xf numFmtId="0" fontId="1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/>
    <xf numFmtId="0" fontId="8" fillId="0" borderId="0" xfId="0" applyFont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43" fontId="12" fillId="0" borderId="0" xfId="0" applyNumberFormat="1" applyFont="1" applyAlignment="1">
      <alignment horizontal="center" vertical="center" wrapText="1"/>
    </xf>
    <xf numFmtId="43" fontId="12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49" fontId="5" fillId="0" borderId="17" xfId="0" applyNumberFormat="1" applyFont="1" applyBorder="1" applyAlignment="1">
      <alignment horizontal="center" vertical="center" wrapText="1"/>
    </xf>
    <xf numFmtId="49" fontId="1" fillId="0" borderId="26" xfId="0" applyNumberFormat="1" applyFont="1" applyBorder="1" applyAlignment="1">
      <alignment horizontal="center" vertical="center" wrapText="1"/>
    </xf>
    <xf numFmtId="0" fontId="2" fillId="0" borderId="42" xfId="0" applyFont="1" applyBorder="1" applyAlignment="1"/>
    <xf numFmtId="0" fontId="7" fillId="0" borderId="7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7" fillId="0" borderId="6" xfId="0" applyFont="1" applyBorder="1" applyAlignment="1">
      <alignment horizontal="left" vertical="center"/>
    </xf>
    <xf numFmtId="49" fontId="17" fillId="0" borderId="7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27" fillId="0" borderId="28" xfId="0" applyFont="1" applyBorder="1" applyAlignment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center" vertical="center"/>
    </xf>
    <xf numFmtId="0" fontId="26" fillId="0" borderId="39" xfId="0" applyFont="1" applyBorder="1" applyAlignment="1"/>
    <xf numFmtId="0" fontId="4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64" fontId="5" fillId="0" borderId="21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0" fontId="8" fillId="0" borderId="7" xfId="0" quotePrefix="1" applyFont="1" applyBorder="1" applyAlignment="1">
      <alignment horizontal="center" vertical="center" wrapText="1"/>
    </xf>
    <xf numFmtId="43" fontId="8" fillId="0" borderId="16" xfId="0" applyNumberFormat="1" applyFont="1" applyBorder="1" applyAlignment="1">
      <alignment horizontal="center" vertical="center" wrapText="1"/>
    </xf>
    <xf numFmtId="14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15" fillId="0" borderId="21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 wrapText="1"/>
    </xf>
    <xf numFmtId="43" fontId="10" fillId="0" borderId="0" xfId="0" applyNumberFormat="1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9" fillId="0" borderId="47" xfId="0" applyFont="1" applyBorder="1">
      <alignment vertical="center"/>
    </xf>
    <xf numFmtId="0" fontId="9" fillId="0" borderId="48" xfId="0" applyFont="1" applyBorder="1">
      <alignment vertical="center"/>
    </xf>
    <xf numFmtId="0" fontId="9" fillId="0" borderId="49" xfId="0" applyFont="1" applyBorder="1">
      <alignment vertical="center"/>
    </xf>
    <xf numFmtId="0" fontId="9" fillId="0" borderId="47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>
      <alignment vertical="center"/>
    </xf>
    <xf numFmtId="0" fontId="9" fillId="0" borderId="51" xfId="0" applyFont="1" applyBorder="1">
      <alignment vertical="center"/>
    </xf>
    <xf numFmtId="0" fontId="5" fillId="0" borderId="50" xfId="0" applyFont="1" applyBorder="1" applyAlignment="1">
      <alignment horizontal="left" vertical="center"/>
    </xf>
    <xf numFmtId="0" fontId="5" fillId="0" borderId="51" xfId="0" applyFont="1" applyBorder="1" applyAlignment="1">
      <alignment horizontal="left" vertical="center"/>
    </xf>
    <xf numFmtId="0" fontId="9" fillId="0" borderId="52" xfId="0" applyFont="1" applyBorder="1">
      <alignment vertical="center"/>
    </xf>
    <xf numFmtId="0" fontId="9" fillId="0" borderId="53" xfId="0" applyFont="1" applyBorder="1">
      <alignment vertical="center"/>
    </xf>
    <xf numFmtId="0" fontId="6" fillId="0" borderId="53" xfId="0" applyFont="1" applyBorder="1" applyAlignment="1">
      <alignment horizontal="left" vertical="center"/>
    </xf>
    <xf numFmtId="0" fontId="9" fillId="0" borderId="53" xfId="0" applyFont="1" applyBorder="1" applyAlignment="1">
      <alignment horizontal="left" vertical="center"/>
    </xf>
    <xf numFmtId="0" fontId="9" fillId="0" borderId="54" xfId="0" applyFont="1" applyBorder="1" applyAlignment="1">
      <alignment horizontal="left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5" fillId="0" borderId="55" xfId="0" applyFont="1" applyBorder="1" applyAlignment="1">
      <alignment horizontal="left" vertical="center"/>
    </xf>
    <xf numFmtId="0" fontId="5" fillId="0" borderId="48" xfId="0" applyFont="1" applyBorder="1" applyAlignment="1">
      <alignment horizontal="left" vertical="center"/>
    </xf>
    <xf numFmtId="0" fontId="5" fillId="0" borderId="49" xfId="0" applyFont="1" applyBorder="1" applyAlignment="1">
      <alignment horizontal="left" vertical="center"/>
    </xf>
    <xf numFmtId="0" fontId="9" fillId="0" borderId="56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5" fillId="0" borderId="58" xfId="0" applyFont="1" applyBorder="1" applyAlignment="1">
      <alignment horizontal="left" vertical="center"/>
    </xf>
    <xf numFmtId="0" fontId="5" fillId="0" borderId="57" xfId="0" applyFont="1" applyBorder="1" applyAlignment="1">
      <alignment horizontal="left" vertical="center"/>
    </xf>
    <xf numFmtId="0" fontId="5" fillId="0" borderId="59" xfId="0" applyFont="1" applyBorder="1" applyAlignment="1">
      <alignment horizontal="left" vertical="center"/>
    </xf>
    <xf numFmtId="0" fontId="5" fillId="0" borderId="5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6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61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5" fillId="0" borderId="63" xfId="0" applyFont="1" applyBorder="1" applyAlignment="1">
      <alignment horizontal="left" vertical="center"/>
    </xf>
    <xf numFmtId="0" fontId="5" fillId="0" borderId="62" xfId="0" applyFont="1" applyBorder="1" applyAlignment="1">
      <alignment horizontal="left" vertical="center"/>
    </xf>
    <xf numFmtId="0" fontId="5" fillId="0" borderId="64" xfId="0" applyFont="1" applyBorder="1" applyAlignment="1">
      <alignment horizontal="left" vertical="center"/>
    </xf>
    <xf numFmtId="0" fontId="5" fillId="0" borderId="60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60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8" fillId="0" borderId="60" xfId="0" applyFont="1" applyBorder="1" applyAlignment="1">
      <alignment horizontal="left" vertical="top" wrapText="1"/>
    </xf>
    <xf numFmtId="0" fontId="9" fillId="0" borderId="60" xfId="0" applyFont="1" applyBorder="1" applyAlignment="1">
      <alignment horizontal="center" vertical="center"/>
    </xf>
    <xf numFmtId="0" fontId="5" fillId="0" borderId="60" xfId="0" applyFont="1" applyBorder="1" applyAlignment="1">
      <alignment horizontal="right" vertical="center"/>
    </xf>
    <xf numFmtId="0" fontId="5" fillId="0" borderId="51" xfId="0" applyFont="1" applyBorder="1" applyAlignment="1">
      <alignment horizontal="right" vertical="center"/>
    </xf>
    <xf numFmtId="0" fontId="9" fillId="0" borderId="58" xfId="0" applyFont="1" applyBorder="1">
      <alignment vertical="center"/>
    </xf>
    <xf numFmtId="0" fontId="9" fillId="0" borderId="59" xfId="0" applyFont="1" applyBorder="1">
      <alignment vertical="center"/>
    </xf>
    <xf numFmtId="0" fontId="9" fillId="0" borderId="65" xfId="0" applyFont="1" applyBorder="1">
      <alignment vertical="center"/>
    </xf>
    <xf numFmtId="0" fontId="5" fillId="0" borderId="53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11" fillId="0" borderId="65" xfId="0" applyFont="1" applyBorder="1" applyAlignment="1">
      <alignment horizontal="right" vertical="center"/>
    </xf>
    <xf numFmtId="0" fontId="11" fillId="0" borderId="54" xfId="0" applyFont="1" applyBorder="1" applyAlignment="1">
      <alignment horizontal="right" vertical="center"/>
    </xf>
    <xf numFmtId="0" fontId="5" fillId="0" borderId="55" xfId="0" applyFont="1" applyBorder="1" applyAlignment="1">
      <alignment horizontal="center" vertical="center"/>
    </xf>
    <xf numFmtId="0" fontId="9" fillId="0" borderId="55" xfId="0" applyFont="1" applyBorder="1">
      <alignment vertical="center"/>
    </xf>
    <xf numFmtId="0" fontId="9" fillId="0" borderId="6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67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51" xfId="0" applyFont="1" applyBorder="1" applyAlignment="1">
      <alignment horizontal="left" vertical="center"/>
    </xf>
    <xf numFmtId="0" fontId="8" fillId="0" borderId="50" xfId="0" applyFont="1" applyBorder="1" applyAlignment="1">
      <alignment horizontal="left" vertical="center"/>
    </xf>
    <xf numFmtId="0" fontId="5" fillId="0" borderId="68" xfId="0" applyFont="1" applyBorder="1" applyAlignment="1">
      <alignment horizontal="center" vertical="center"/>
    </xf>
    <xf numFmtId="0" fontId="8" fillId="0" borderId="68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9" fillId="0" borderId="54" xfId="0" applyFont="1" applyBorder="1">
      <alignment vertical="center"/>
    </xf>
    <xf numFmtId="0" fontId="5" fillId="0" borderId="70" xfId="0" applyFont="1" applyBorder="1" applyAlignment="1">
      <alignment horizontal="left" vertical="center"/>
    </xf>
    <xf numFmtId="0" fontId="9" fillId="0" borderId="71" xfId="0" applyFont="1" applyBorder="1" applyAlignment="1">
      <alignment horizontal="left" vertical="center"/>
    </xf>
    <xf numFmtId="0" fontId="9" fillId="0" borderId="72" xfId="0" applyFont="1" applyBorder="1" applyAlignment="1">
      <alignment horizontal="left" vertical="center"/>
    </xf>
    <xf numFmtId="0" fontId="5" fillId="0" borderId="71" xfId="0" applyFont="1" applyBorder="1" applyAlignment="1">
      <alignment horizontal="center" vertical="center"/>
    </xf>
    <xf numFmtId="0" fontId="9" fillId="0" borderId="71" xfId="0" applyFont="1" applyBorder="1" applyAlignment="1">
      <alignment horizontal="center" vertical="center"/>
    </xf>
    <xf numFmtId="0" fontId="9" fillId="0" borderId="73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9" fillId="0" borderId="66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/>
    </xf>
    <xf numFmtId="0" fontId="9" fillId="0" borderId="75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76" xfId="0" applyFont="1" applyBorder="1" applyAlignment="1">
      <alignment horizontal="center" vertical="center" wrapText="1"/>
    </xf>
    <xf numFmtId="0" fontId="8" fillId="0" borderId="76" xfId="0" applyFont="1" applyBorder="1" applyAlignment="1">
      <alignment horizontal="left"/>
    </xf>
    <xf numFmtId="0" fontId="8" fillId="0" borderId="51" xfId="0" applyFont="1" applyBorder="1" applyAlignment="1">
      <alignment horizontal="center" vertical="center" wrapText="1"/>
    </xf>
    <xf numFmtId="0" fontId="9" fillId="0" borderId="52" xfId="0" applyFont="1" applyBorder="1" applyAlignment="1">
      <alignment horizontal="center" vertical="center"/>
    </xf>
    <xf numFmtId="0" fontId="9" fillId="0" borderId="77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 wrapText="1"/>
    </xf>
    <xf numFmtId="0" fontId="9" fillId="0" borderId="77" xfId="0" applyFont="1" applyBorder="1" applyAlignment="1">
      <alignment horizontal="center" vertical="center" wrapText="1"/>
    </xf>
    <xf numFmtId="0" fontId="8" fillId="0" borderId="53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54" xfId="0" applyFont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0" borderId="81" xfId="0" applyFont="1" applyBorder="1" applyAlignment="1">
      <alignment horizontal="center" vertical="center"/>
    </xf>
    <xf numFmtId="0" fontId="9" fillId="0" borderId="82" xfId="0" applyFont="1" applyBorder="1">
      <alignment vertical="center"/>
    </xf>
    <xf numFmtId="0" fontId="9" fillId="0" borderId="83" xfId="0" applyFont="1" applyBorder="1">
      <alignment vertical="center"/>
    </xf>
    <xf numFmtId="0" fontId="9" fillId="0" borderId="84" xfId="0" applyFont="1" applyBorder="1">
      <alignment vertical="center"/>
    </xf>
    <xf numFmtId="0" fontId="9" fillId="0" borderId="85" xfId="0" applyFont="1" applyBorder="1">
      <alignment vertical="center"/>
    </xf>
    <xf numFmtId="0" fontId="9" fillId="0" borderId="86" xfId="0" applyFont="1" applyBorder="1">
      <alignment vertical="center"/>
    </xf>
    <xf numFmtId="0" fontId="9" fillId="0" borderId="87" xfId="0" applyFont="1" applyBorder="1">
      <alignment vertical="center"/>
    </xf>
    <xf numFmtId="0" fontId="9" fillId="0" borderId="77" xfId="0" applyFont="1" applyBorder="1">
      <alignment vertical="center"/>
    </xf>
    <xf numFmtId="43" fontId="9" fillId="0" borderId="0" xfId="0" quotePrefix="1" applyNumberFormat="1" applyFont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7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72</xdr:row>
      <xdr:rowOff>104775</xdr:rowOff>
    </xdr:from>
    <xdr:ext cx="6886575" cy="13049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9050" y="15887700"/>
          <a:ext cx="6886575" cy="1304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National Hi-way,</a:t>
          </a: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</a:t>
          </a: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Rizal St., Brgy. Sta. Clara Sur, Pila, Laguna, Philippines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Tel. Nos.: (049) 559 0722 (Administrative) • 559 0723 (Engineering) • 502-0145 (COA) • 559 0727 (Regional Manager)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• 576 5543 (Equipment) • 559-0724 (Finance) Telefax No.: (049) 559 0726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Email:r4a@nia.gov.ph●Website: region4a.nia.gov.ph  Facebook: www.facebook.com/region4a.nia.gov.ph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TIN: 000916415043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solidFill>
              <a:srgbClr val="3A7D22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900"/>
            <a:buFont typeface="Arial" panose="020B0604020202020204"/>
            <a:buNone/>
          </a:pPr>
          <a:r>
            <a:rPr lang="en-US" sz="900" i="1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NIA-RO-AFD-FIN-INT-Form-209-Rev00</a:t>
          </a:r>
          <a:endParaRPr sz="900" i="1">
            <a:solidFill>
              <a:srgbClr val="000000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lang="en-GB" altLang="en-US" sz="800"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123825</xdr:colOff>
      <xdr:row>0</xdr:row>
      <xdr:rowOff>38100</xdr:rowOff>
    </xdr:from>
    <xdr:ext cx="8848725" cy="107569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/>
      </xdr:nvGrpSpPr>
      <xdr:grpSpPr>
        <a:xfrm>
          <a:off x="123825" y="38100"/>
          <a:ext cx="8848725" cy="1075690"/>
          <a:chOff x="921638" y="3270413"/>
          <a:chExt cx="8848710" cy="1076361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GrpSpPr/>
        </xdr:nvGrpSpPr>
        <xdr:grpSpPr>
          <a:xfrm>
            <a:off x="921638" y="3270413"/>
            <a:ext cx="8848710" cy="1076361"/>
            <a:chOff x="130968" y="71438"/>
            <a:chExt cx="7679475" cy="133287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GrpSpPr/>
          </xdr:nvGrpSpPr>
          <xdr:grpSpPr>
            <a:xfrm>
              <a:off x="205364" y="380674"/>
              <a:ext cx="1496766" cy="915860"/>
              <a:chOff x="50239" y="22185"/>
              <a:chExt cx="1010748" cy="574117"/>
            </a:xfrm>
          </xdr:grpSpPr>
          <xdr:pic>
            <xdr:nvPic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/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50239" y="22185"/>
                <a:ext cx="468533" cy="565099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8" name="Shape 8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PicPr preferRelativeResize="0"/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622227" y="29584"/>
                <a:ext cx="438760" cy="56671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9" name="Shape 9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857615" y="213853"/>
              <a:ext cx="886709" cy="1190460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10" name="Shape 10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SpPr txBox="1"/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38100</xdr:colOff>
      <xdr:row>76</xdr:row>
      <xdr:rowOff>171450</xdr:rowOff>
    </xdr:from>
    <xdr:ext cx="11406505" cy="542925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t="77399"/>
        <a:stretch/>
      </xdr:blipFill>
      <xdr:spPr>
        <a:xfrm>
          <a:off x="38100" y="16335375"/>
          <a:ext cx="1140650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533400</xdr:colOff>
      <xdr:row>72</xdr:row>
      <xdr:rowOff>47625</xdr:rowOff>
    </xdr:from>
    <xdr:ext cx="1362075" cy="704850"/>
    <xdr:pic>
      <xdr:nvPicPr>
        <xdr:cNvPr id="12" name="image1.jp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677400" y="15830550"/>
          <a:ext cx="13620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153</xdr:row>
      <xdr:rowOff>104775</xdr:rowOff>
    </xdr:from>
    <xdr:ext cx="6686550" cy="1304925"/>
    <xdr:sp macro="" textlink="">
      <xdr:nvSpPr>
        <xdr:cNvPr id="13" name="Shape 2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9050" y="32299275"/>
          <a:ext cx="6686550" cy="1304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National Hi-way,</a:t>
          </a: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</a:t>
          </a: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Rizal St., Brgy. Sta. Clara Sur, Pila, Laguna, Philippines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Tel. Nos.: (049) 559 0722 (Administrative) • 559 0723 (Engineering) • 502-0145 (COA) • 559 0727 (Regional Manager)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• 576 5543 (Equipment) • 559-0724 (Finance) Telefax No.: (049) 559 0726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Email:r4a@nia.gov.ph●Website: region4a.nia.gov.ph  Facebook: www.facebook.com/region4a.nia.gov.ph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TIN: 000916415043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solidFill>
              <a:srgbClr val="3A7D22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900"/>
            <a:buFont typeface="Arial" panose="020B0604020202020204"/>
            <a:buNone/>
          </a:pPr>
          <a:r>
            <a:rPr lang="en-US" sz="900" i="1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NIA-RO-AFD-FIN-INT-Form-209-Rev00</a:t>
          </a:r>
          <a:endParaRPr sz="900" i="1">
            <a:solidFill>
              <a:srgbClr val="000000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lang="en-GB" altLang="en-US" sz="800"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123825</xdr:colOff>
      <xdr:row>87</xdr:row>
      <xdr:rowOff>47625</xdr:rowOff>
    </xdr:from>
    <xdr:ext cx="8648700" cy="1019175"/>
    <xdr:grpSp>
      <xdr:nvGrpSpPr>
        <xdr:cNvPr id="14" name="Shape 2" title="Drawi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pSpPr>
          <a:grpSpLocks noChangeAspect="1"/>
        </xdr:cNvGrpSpPr>
      </xdr:nvGrpSpPr>
      <xdr:grpSpPr>
        <a:xfrm>
          <a:off x="123825" y="17907000"/>
          <a:ext cx="8648700" cy="1019175"/>
          <a:chOff x="1021650" y="3270413"/>
          <a:chExt cx="8648700" cy="1019175"/>
        </a:xfrm>
      </xdr:grpSpPr>
      <xdr:grpSp>
        <xdr:nvGrpSpPr>
          <xdr:cNvPr id="15" name="Shape 26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GrpSpPr/>
        </xdr:nvGrpSpPr>
        <xdr:grpSpPr>
          <a:xfrm>
            <a:off x="1021650" y="3270413"/>
            <a:ext cx="8648700" cy="1019175"/>
            <a:chOff x="130968" y="71438"/>
            <a:chExt cx="7679488" cy="1262061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GrpSpPr/>
          </xdr:nvGrpSpPr>
          <xdr:grpSpPr>
            <a:xfrm>
              <a:off x="130968" y="345283"/>
              <a:ext cx="1702595" cy="821530"/>
              <a:chOff x="0" y="0"/>
              <a:chExt cx="1149742" cy="514985"/>
            </a:xfrm>
          </xdr:grpSpPr>
          <xdr:pic>
            <xdr:nvPicPr>
              <xdr:cNvPr id="18" name="Shape 28">
                <a:extLst>
                  <a:ext uri="{FF2B5EF4-FFF2-40B4-BE49-F238E27FC236}">
                    <a16:creationId xmlns:a16="http://schemas.microsoft.com/office/drawing/2014/main" id="{00000000-0008-0000-0000-000012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0" y="0"/>
                <a:ext cx="546731" cy="50609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9" name="Shape 29">
                <a:extLst>
                  <a:ext uri="{FF2B5EF4-FFF2-40B4-BE49-F238E27FC236}">
                    <a16:creationId xmlns:a16="http://schemas.microsoft.com/office/drawing/2014/main" id="{00000000-0008-0000-0000-000013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594556" y="0"/>
                <a:ext cx="555186" cy="514985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20" name="Shape 30">
              <a:extLst>
                <a:ext uri="{FF2B5EF4-FFF2-40B4-BE49-F238E27FC236}">
                  <a16:creationId xmlns:a16="http://schemas.microsoft.com/office/drawing/2014/main" id="{00000000-0008-0000-0000-000014000000}"/>
                </a:ext>
              </a:extLst>
            </xdr:cNvPr>
            <xdr:cNvPicPr preferRelativeResize="0">
              <a:picLocks noChangeAspect="1"/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667498" y="142873"/>
              <a:ext cx="1142958" cy="1190626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21" name="Shape 31">
              <a:extLst>
                <a:ext uri="{FF2B5EF4-FFF2-40B4-BE49-F238E27FC236}">
                  <a16:creationId xmlns:a16="http://schemas.microsoft.com/office/drawing/2014/main" id="{00000000-0008-0000-0000-00001500000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38100</xdr:colOff>
      <xdr:row>148</xdr:row>
      <xdr:rowOff>0</xdr:rowOff>
    </xdr:from>
    <xdr:ext cx="11727815" cy="2398395"/>
    <xdr:pic>
      <xdr:nvPicPr>
        <xdr:cNvPr id="22" name="image14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38100" y="31194375"/>
          <a:ext cx="11727815" cy="2398395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180975</xdr:colOff>
      <xdr:row>152</xdr:row>
      <xdr:rowOff>180975</xdr:rowOff>
    </xdr:from>
    <xdr:ext cx="1276350" cy="695325"/>
    <xdr:pic>
      <xdr:nvPicPr>
        <xdr:cNvPr id="23" name="image1.jp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934575" y="32175450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164</xdr:row>
      <xdr:rowOff>47625</xdr:rowOff>
    </xdr:from>
    <xdr:ext cx="8710930" cy="1247140"/>
    <xdr:grpSp>
      <xdr:nvGrpSpPr>
        <xdr:cNvPr id="25" name="Shape 2" title="Drawi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GrpSpPr>
          <a:grpSpLocks noChangeAspect="1"/>
        </xdr:cNvGrpSpPr>
      </xdr:nvGrpSpPr>
      <xdr:grpSpPr>
        <a:xfrm>
          <a:off x="123825" y="33775650"/>
          <a:ext cx="8710930" cy="1247140"/>
          <a:chOff x="1021650" y="3270413"/>
          <a:chExt cx="8717170" cy="1256160"/>
        </a:xfrm>
      </xdr:grpSpPr>
      <xdr:grpSp>
        <xdr:nvGrpSpPr>
          <xdr:cNvPr id="26" name="Shape 26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GrpSpPr/>
        </xdr:nvGrpSpPr>
        <xdr:grpSpPr>
          <a:xfrm>
            <a:off x="1021650" y="3270413"/>
            <a:ext cx="8717170" cy="1256160"/>
            <a:chOff x="130968" y="71438"/>
            <a:chExt cx="7740285" cy="1555523"/>
          </a:xfrm>
        </xdr:grpSpPr>
        <xdr:sp macro="" textlink="">
          <xdr:nvSpPr>
            <xdr:cNvPr id="27" name="Shape 5">
              <a:extLst>
                <a:ext uri="{FF2B5EF4-FFF2-40B4-BE49-F238E27FC236}">
                  <a16:creationId xmlns:a16="http://schemas.microsoft.com/office/drawing/2014/main" id="{00000000-0008-0000-0000-00001B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28" name="Shape 27">
              <a:extLst>
                <a:ext uri="{FF2B5EF4-FFF2-40B4-BE49-F238E27FC236}">
                  <a16:creationId xmlns:a16="http://schemas.microsoft.com/office/drawing/2014/main" id="{00000000-0008-0000-0000-00001C000000}"/>
                </a:ext>
              </a:extLst>
            </xdr:cNvPr>
            <xdr:cNvGrpSpPr/>
          </xdr:nvGrpSpPr>
          <xdr:grpSpPr>
            <a:xfrm>
              <a:off x="201406" y="414215"/>
              <a:ext cx="1562258" cy="989615"/>
              <a:chOff x="47566" y="43211"/>
              <a:chExt cx="1054974" cy="620351"/>
            </a:xfrm>
          </xdr:grpSpPr>
          <xdr:pic>
            <xdr:nvPicPr>
              <xdr:cNvPr id="29" name="Shape 28">
                <a:extLst>
                  <a:ext uri="{FF2B5EF4-FFF2-40B4-BE49-F238E27FC236}">
                    <a16:creationId xmlns:a16="http://schemas.microsoft.com/office/drawing/2014/main" id="{00000000-0008-0000-0000-00001D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47566" y="57524"/>
                <a:ext cx="472558" cy="58884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30" name="Shape 29">
                <a:extLst>
                  <a:ext uri="{FF2B5EF4-FFF2-40B4-BE49-F238E27FC236}">
                    <a16:creationId xmlns:a16="http://schemas.microsoft.com/office/drawing/2014/main" id="{00000000-0008-0000-0000-00001E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608045" y="43211"/>
                <a:ext cx="494495" cy="62035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31" name="Shape 30">
              <a:extLst>
                <a:ext uri="{FF2B5EF4-FFF2-40B4-BE49-F238E27FC236}">
                  <a16:creationId xmlns:a16="http://schemas.microsoft.com/office/drawing/2014/main" id="{00000000-0008-0000-0000-00001F000000}"/>
                </a:ext>
              </a:extLst>
            </xdr:cNvPr>
            <xdr:cNvPicPr preferRelativeResize="0">
              <a:picLocks noChangeAspect="1"/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918280" y="311226"/>
              <a:ext cx="952973" cy="1315735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32" name="Shape 31">
              <a:extLst>
                <a:ext uri="{FF2B5EF4-FFF2-40B4-BE49-F238E27FC236}">
                  <a16:creationId xmlns:a16="http://schemas.microsoft.com/office/drawing/2014/main" id="{00000000-0008-0000-0000-00002000000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9525</xdr:colOff>
      <xdr:row>202</xdr:row>
      <xdr:rowOff>168275</xdr:rowOff>
    </xdr:from>
    <xdr:ext cx="11391900" cy="6927215"/>
    <xdr:pic>
      <xdr:nvPicPr>
        <xdr:cNvPr id="33" name="image14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525" y="42649775"/>
          <a:ext cx="11391900" cy="6927215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488315</xdr:colOff>
      <xdr:row>229</xdr:row>
      <xdr:rowOff>141605</xdr:rowOff>
    </xdr:from>
    <xdr:ext cx="1276350" cy="695325"/>
    <xdr:pic>
      <xdr:nvPicPr>
        <xdr:cNvPr id="34" name="image1.jp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632315" y="48357155"/>
          <a:ext cx="1276350" cy="695325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152400</xdr:colOff>
      <xdr:row>227</xdr:row>
      <xdr:rowOff>57150</xdr:rowOff>
    </xdr:from>
    <xdr:to>
      <xdr:col>9</xdr:col>
      <xdr:colOff>333375</xdr:colOff>
      <xdr:row>233</xdr:row>
      <xdr:rowOff>110490</xdr:rowOff>
    </xdr:to>
    <xdr:sp macro="" textlink="">
      <xdr:nvSpPr>
        <xdr:cNvPr id="35" name="Text Box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/>
      </xdr:nvSpPr>
      <xdr:spPr>
        <a:xfrm>
          <a:off x="152400" y="47872650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</a:p>
        <a:p>
          <a:pPr algn="l"/>
          <a:r>
            <a:rPr lang="en-GB" altLang="en-US" sz="1100" b="1"/>
            <a:t>          • 576 5543 (Equipment) • 523 3668 (Finance) Telefax No.: (049) 559 0726</a:t>
          </a:r>
        </a:p>
        <a:p>
          <a:pPr algn="l"/>
          <a:r>
            <a:rPr lang="en-GB" altLang="en-US" sz="1100" b="1"/>
            <a:t>Website: region4a.nia.gov.ph • Facebook: www.facebook.com/region4a.nia.gov.ph</a:t>
          </a:r>
        </a:p>
        <a:p>
          <a:pPr algn="l"/>
          <a:r>
            <a:rPr lang="en-GB" altLang="en-US" sz="1100" b="1"/>
            <a:t>TIN: 000916415043</a:t>
          </a:r>
        </a:p>
        <a:p>
          <a:pPr algn="l"/>
          <a:r>
            <a:rPr lang="en-GB" altLang="en-US" sz="1100" b="1"/>
            <a:t> </a:t>
          </a:r>
        </a:p>
        <a:p>
          <a:pPr algn="l"/>
          <a:endParaRPr lang="en-GB" altLang="en-US" sz="1100" b="1"/>
        </a:p>
      </xdr:txBody>
    </xdr:sp>
    <xdr:clientData/>
  </xdr:twoCellAnchor>
  <xdr:twoCellAnchor editAs="oneCell">
    <xdr:from>
      <xdr:col>0</xdr:col>
      <xdr:colOff>142875</xdr:colOff>
      <xdr:row>233</xdr:row>
      <xdr:rowOff>171450</xdr:rowOff>
    </xdr:from>
    <xdr:to>
      <xdr:col>4</xdr:col>
      <xdr:colOff>372745</xdr:colOff>
      <xdr:row>235</xdr:row>
      <xdr:rowOff>88265</xdr:rowOff>
    </xdr:to>
    <xdr:pic>
      <xdr:nvPicPr>
        <xdr:cNvPr id="36" name="Picture 10532184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875" y="49158525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72</xdr:row>
      <xdr:rowOff>104775</xdr:rowOff>
    </xdr:from>
    <xdr:ext cx="6886575" cy="13049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B3726E67-8890-4262-8D34-3A29B256453D}"/>
            </a:ext>
          </a:extLst>
        </xdr:cNvPr>
        <xdr:cNvSpPr txBox="1"/>
      </xdr:nvSpPr>
      <xdr:spPr>
        <a:xfrm>
          <a:off x="19050" y="15106650"/>
          <a:ext cx="6886575" cy="1304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National Hi-way,</a:t>
          </a: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</a:t>
          </a: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Rizal St., Brgy. Sta. Clara Sur, Pila, Laguna, Philippines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Tel. Nos.: (049) 559 0722 (Administrative) • 559 0723 (Engineering) • 502-0145 (COA) • 559 0727 (Regional Manager)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• 576 5543 (Equipment) • 559-0724 (Finance) Telefax No.: (049) 559 0726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Email:r4a@nia.gov.ph●Website: region4a.nia.gov.ph  Facebook: www.facebook.com/region4a.nia.gov.ph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TIN: 000916415043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solidFill>
              <a:srgbClr val="3A7D22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900"/>
            <a:buFont typeface="Arial" panose="020B0604020202020204"/>
            <a:buNone/>
          </a:pPr>
          <a:r>
            <a:rPr lang="en-US" sz="900" i="1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NIA-RO-AFD-FIN-INT-Form-209-Rev00</a:t>
          </a:r>
          <a:endParaRPr sz="900" i="1">
            <a:solidFill>
              <a:srgbClr val="000000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lang="en-GB" altLang="en-US" sz="800"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123825</xdr:colOff>
      <xdr:row>0</xdr:row>
      <xdr:rowOff>38100</xdr:rowOff>
    </xdr:from>
    <xdr:ext cx="8848725" cy="1075690"/>
    <xdr:grpSp>
      <xdr:nvGrpSpPr>
        <xdr:cNvPr id="3" name="Shape 2">
          <a:extLst>
            <a:ext uri="{FF2B5EF4-FFF2-40B4-BE49-F238E27FC236}">
              <a16:creationId xmlns:a16="http://schemas.microsoft.com/office/drawing/2014/main" id="{50258398-BEAF-439F-A188-11CF02758AA8}"/>
            </a:ext>
          </a:extLst>
        </xdr:cNvPr>
        <xdr:cNvGrpSpPr/>
      </xdr:nvGrpSpPr>
      <xdr:grpSpPr>
        <a:xfrm>
          <a:off x="123825" y="38100"/>
          <a:ext cx="8848725" cy="1075690"/>
          <a:chOff x="921638" y="3270413"/>
          <a:chExt cx="8848710" cy="1076361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8FF67A01-8430-AA34-F2C3-4C2DBFBE6C8C}"/>
              </a:ext>
            </a:extLst>
          </xdr:cNvPr>
          <xdr:cNvGrpSpPr/>
        </xdr:nvGrpSpPr>
        <xdr:grpSpPr>
          <a:xfrm>
            <a:off x="921638" y="3270413"/>
            <a:ext cx="8848710" cy="1076361"/>
            <a:chOff x="130968" y="71438"/>
            <a:chExt cx="7679475" cy="133287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C02A88B7-DFA1-CA57-B39C-D5995DB48FA1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704CA3A5-70EE-159F-3C6C-C93458826993}"/>
                </a:ext>
              </a:extLst>
            </xdr:cNvPr>
            <xdr:cNvGrpSpPr/>
          </xdr:nvGrpSpPr>
          <xdr:grpSpPr>
            <a:xfrm>
              <a:off x="205364" y="380674"/>
              <a:ext cx="1496766" cy="915860"/>
              <a:chOff x="50239" y="22185"/>
              <a:chExt cx="1010748" cy="574117"/>
            </a:xfrm>
          </xdr:grpSpPr>
          <xdr:pic>
            <xdr:nvPicPr>
              <xdr:cNvPr id="9" name="Shape 7">
                <a:extLst>
                  <a:ext uri="{FF2B5EF4-FFF2-40B4-BE49-F238E27FC236}">
                    <a16:creationId xmlns:a16="http://schemas.microsoft.com/office/drawing/2014/main" id="{D4ED120C-8376-BD55-5C93-4C4D86B3E335}"/>
                  </a:ext>
                </a:extLst>
              </xdr:cNvPr>
              <xdr:cNvPicPr preferRelativeResize="0"/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50239" y="22185"/>
                <a:ext cx="468533" cy="565099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0" name="Shape 8">
                <a:extLst>
                  <a:ext uri="{FF2B5EF4-FFF2-40B4-BE49-F238E27FC236}">
                    <a16:creationId xmlns:a16="http://schemas.microsoft.com/office/drawing/2014/main" id="{98936FBF-F866-C6AC-9014-58366A56FDAC}"/>
                  </a:ext>
                </a:extLst>
              </xdr:cNvPr>
              <xdr:cNvPicPr preferRelativeResize="0"/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622227" y="29584"/>
                <a:ext cx="438760" cy="56671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7" name="Shape 9">
              <a:extLst>
                <a:ext uri="{FF2B5EF4-FFF2-40B4-BE49-F238E27FC236}">
                  <a16:creationId xmlns:a16="http://schemas.microsoft.com/office/drawing/2014/main" id="{14A1C165-D94C-51E6-16C3-344A639DE65A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857615" y="213853"/>
              <a:ext cx="886709" cy="1190460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8" name="Shape 10">
              <a:extLst>
                <a:ext uri="{FF2B5EF4-FFF2-40B4-BE49-F238E27FC236}">
                  <a16:creationId xmlns:a16="http://schemas.microsoft.com/office/drawing/2014/main" id="{471EF055-11BA-2275-EF66-C82FCBB4073E}"/>
                </a:ext>
              </a:extLst>
            </xdr:cNvPr>
            <xdr:cNvSpPr txBox="1"/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38100</xdr:colOff>
      <xdr:row>76</xdr:row>
      <xdr:rowOff>171450</xdr:rowOff>
    </xdr:from>
    <xdr:ext cx="11406505" cy="542925"/>
    <xdr:pic>
      <xdr:nvPicPr>
        <xdr:cNvPr id="11" name="image14.png">
          <a:extLst>
            <a:ext uri="{FF2B5EF4-FFF2-40B4-BE49-F238E27FC236}">
              <a16:creationId xmlns:a16="http://schemas.microsoft.com/office/drawing/2014/main" id="{B64A0E03-34D5-4877-9D72-FB6B4F6270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t="77399"/>
        <a:stretch/>
      </xdr:blipFill>
      <xdr:spPr>
        <a:xfrm>
          <a:off x="38100" y="15935325"/>
          <a:ext cx="1140650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533400</xdr:colOff>
      <xdr:row>72</xdr:row>
      <xdr:rowOff>47625</xdr:rowOff>
    </xdr:from>
    <xdr:ext cx="1362075" cy="704850"/>
    <xdr:pic>
      <xdr:nvPicPr>
        <xdr:cNvPr id="12" name="image1.jpg">
          <a:extLst>
            <a:ext uri="{FF2B5EF4-FFF2-40B4-BE49-F238E27FC236}">
              <a16:creationId xmlns:a16="http://schemas.microsoft.com/office/drawing/2014/main" id="{6718D737-F6A7-406C-A396-8C506A042FFC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677400" y="15049500"/>
          <a:ext cx="13620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153</xdr:row>
      <xdr:rowOff>104775</xdr:rowOff>
    </xdr:from>
    <xdr:ext cx="6686550" cy="1304925"/>
    <xdr:sp macro="" textlink="">
      <xdr:nvSpPr>
        <xdr:cNvPr id="13" name="Shape 25">
          <a:extLst>
            <a:ext uri="{FF2B5EF4-FFF2-40B4-BE49-F238E27FC236}">
              <a16:creationId xmlns:a16="http://schemas.microsoft.com/office/drawing/2014/main" id="{82F7E2D0-3935-49BE-B12B-A4B00FE977EF}"/>
            </a:ext>
          </a:extLst>
        </xdr:cNvPr>
        <xdr:cNvSpPr txBox="1"/>
      </xdr:nvSpPr>
      <xdr:spPr>
        <a:xfrm>
          <a:off x="19050" y="31737300"/>
          <a:ext cx="6686550" cy="1304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National Hi-way,</a:t>
          </a: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</a:t>
          </a: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Rizal St., Brgy. Sta. Clara Sur, Pila, Laguna, Philippines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Tel. Nos.: (049) 559 0722 (Administrative) • 559 0723 (Engineering) • 502-0145 (COA) • 559 0727 (Regional Manager)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• 576 5543 (Equipment) • 559-0724 (Finance) Telefax No.: (049) 559 0726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Email:r4a@nia.gov.ph●Website: region4a.nia.gov.ph  Facebook: www.facebook.com/region4a.nia.gov.ph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TIN: 000916415043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solidFill>
              <a:srgbClr val="3A7D22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900"/>
            <a:buFont typeface="Arial" panose="020B0604020202020204"/>
            <a:buNone/>
          </a:pPr>
          <a:r>
            <a:rPr lang="en-US" sz="900" i="1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NIA-RO-AFD-FIN-INT-Form-209-Rev00</a:t>
          </a:r>
          <a:endParaRPr sz="900" i="1">
            <a:solidFill>
              <a:srgbClr val="000000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lang="en-GB" altLang="en-US" sz="800"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123825</xdr:colOff>
      <xdr:row>87</xdr:row>
      <xdr:rowOff>47625</xdr:rowOff>
    </xdr:from>
    <xdr:ext cx="8648700" cy="1019175"/>
    <xdr:grpSp>
      <xdr:nvGrpSpPr>
        <xdr:cNvPr id="14" name="Shape 2" title="Drawing">
          <a:extLst>
            <a:ext uri="{FF2B5EF4-FFF2-40B4-BE49-F238E27FC236}">
              <a16:creationId xmlns:a16="http://schemas.microsoft.com/office/drawing/2014/main" id="{7A3ADB91-CC73-45DE-9E72-AC5DAC1C0BEA}"/>
            </a:ext>
          </a:extLst>
        </xdr:cNvPr>
        <xdr:cNvGrpSpPr>
          <a:grpSpLocks noChangeAspect="1"/>
        </xdr:cNvGrpSpPr>
      </xdr:nvGrpSpPr>
      <xdr:grpSpPr>
        <a:xfrm>
          <a:off x="123825" y="18044272"/>
          <a:ext cx="8648700" cy="1019175"/>
          <a:chOff x="1021650" y="3270413"/>
          <a:chExt cx="8648700" cy="1019175"/>
        </a:xfrm>
      </xdr:grpSpPr>
      <xdr:grpSp>
        <xdr:nvGrpSpPr>
          <xdr:cNvPr id="15" name="Shape 26">
            <a:extLst>
              <a:ext uri="{FF2B5EF4-FFF2-40B4-BE49-F238E27FC236}">
                <a16:creationId xmlns:a16="http://schemas.microsoft.com/office/drawing/2014/main" id="{F59E3498-8973-6D42-4B42-295A81E44E72}"/>
              </a:ext>
            </a:extLst>
          </xdr:cNvPr>
          <xdr:cNvGrpSpPr/>
        </xdr:nvGrpSpPr>
        <xdr:grpSpPr>
          <a:xfrm>
            <a:off x="1021650" y="3270413"/>
            <a:ext cx="8648700" cy="1019175"/>
            <a:chOff x="130968" y="71438"/>
            <a:chExt cx="7679488" cy="1262061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C4FF161E-B0F2-E879-39E0-57D58E42434F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>
              <a:extLst>
                <a:ext uri="{FF2B5EF4-FFF2-40B4-BE49-F238E27FC236}">
                  <a16:creationId xmlns:a16="http://schemas.microsoft.com/office/drawing/2014/main" id="{8A3C7C7D-683B-0041-9827-E1D64714DF8F}"/>
                </a:ext>
              </a:extLst>
            </xdr:cNvPr>
            <xdr:cNvGrpSpPr/>
          </xdr:nvGrpSpPr>
          <xdr:grpSpPr>
            <a:xfrm>
              <a:off x="130968" y="345283"/>
              <a:ext cx="1702595" cy="821530"/>
              <a:chOff x="0" y="0"/>
              <a:chExt cx="1149742" cy="514985"/>
            </a:xfrm>
          </xdr:grpSpPr>
          <xdr:pic>
            <xdr:nvPicPr>
              <xdr:cNvPr id="20" name="Shape 28">
                <a:extLst>
                  <a:ext uri="{FF2B5EF4-FFF2-40B4-BE49-F238E27FC236}">
                    <a16:creationId xmlns:a16="http://schemas.microsoft.com/office/drawing/2014/main" id="{40D46F0F-ADA9-65B9-BBD4-EA2B9701D54A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0" y="0"/>
                <a:ext cx="546731" cy="50609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21" name="Shape 29">
                <a:extLst>
                  <a:ext uri="{FF2B5EF4-FFF2-40B4-BE49-F238E27FC236}">
                    <a16:creationId xmlns:a16="http://schemas.microsoft.com/office/drawing/2014/main" id="{0C8D6F01-6E0E-B526-FEBF-395779BFFF51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594556" y="0"/>
                <a:ext cx="555186" cy="514985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18" name="Shape 30">
              <a:extLst>
                <a:ext uri="{FF2B5EF4-FFF2-40B4-BE49-F238E27FC236}">
                  <a16:creationId xmlns:a16="http://schemas.microsoft.com/office/drawing/2014/main" id="{50E67544-1186-739E-CCE4-735B1D74E925}"/>
                </a:ext>
              </a:extLst>
            </xdr:cNvPr>
            <xdr:cNvPicPr preferRelativeResize="0">
              <a:picLocks noChangeAspect="1"/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667498" y="142873"/>
              <a:ext cx="1142958" cy="1190626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19" name="Shape 31">
              <a:extLst>
                <a:ext uri="{FF2B5EF4-FFF2-40B4-BE49-F238E27FC236}">
                  <a16:creationId xmlns:a16="http://schemas.microsoft.com/office/drawing/2014/main" id="{16355A68-DA85-B295-5649-072924E3DC9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38100</xdr:colOff>
      <xdr:row>148</xdr:row>
      <xdr:rowOff>0</xdr:rowOff>
    </xdr:from>
    <xdr:ext cx="11727815" cy="2398395"/>
    <xdr:pic>
      <xdr:nvPicPr>
        <xdr:cNvPr id="22" name="image14.png">
          <a:extLst>
            <a:ext uri="{FF2B5EF4-FFF2-40B4-BE49-F238E27FC236}">
              <a16:creationId xmlns:a16="http://schemas.microsoft.com/office/drawing/2014/main" id="{84256881-AA5E-437A-A776-E099DD93139F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38100" y="30632400"/>
          <a:ext cx="11727815" cy="2398395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180975</xdr:colOff>
      <xdr:row>152</xdr:row>
      <xdr:rowOff>180975</xdr:rowOff>
    </xdr:from>
    <xdr:ext cx="1276350" cy="695325"/>
    <xdr:pic>
      <xdr:nvPicPr>
        <xdr:cNvPr id="23" name="image1.jpg">
          <a:extLst>
            <a:ext uri="{FF2B5EF4-FFF2-40B4-BE49-F238E27FC236}">
              <a16:creationId xmlns:a16="http://schemas.microsoft.com/office/drawing/2014/main" id="{E6A3F8BE-BD10-4AB7-860F-976814179A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934575" y="31613475"/>
          <a:ext cx="1276350" cy="695325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233680</xdr:colOff>
      <xdr:row>163</xdr:row>
      <xdr:rowOff>126477</xdr:rowOff>
    </xdr:from>
    <xdr:to>
      <xdr:col>2</xdr:col>
      <xdr:colOff>34290</xdr:colOff>
      <xdr:row>167</xdr:row>
      <xdr:rowOff>36307</xdr:rowOff>
    </xdr:to>
    <xdr:pic>
      <xdr:nvPicPr>
        <xdr:cNvPr id="36" name="Shape 29">
          <a:extLst>
            <a:ext uri="{FF2B5EF4-FFF2-40B4-BE49-F238E27FC236}">
              <a16:creationId xmlns:a16="http://schemas.microsoft.com/office/drawing/2014/main" id="{B0903B71-722F-4C30-870C-C8DD308D6429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233680" y="33744124"/>
          <a:ext cx="1010845" cy="828712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</xdr:col>
      <xdr:colOff>44861</xdr:colOff>
      <xdr:row>163</xdr:row>
      <xdr:rowOff>14530</xdr:rowOff>
    </xdr:from>
    <xdr:to>
      <xdr:col>4</xdr:col>
      <xdr:colOff>166781</xdr:colOff>
      <xdr:row>167</xdr:row>
      <xdr:rowOff>173280</xdr:rowOff>
    </xdr:to>
    <xdr:pic>
      <xdr:nvPicPr>
        <xdr:cNvPr id="37" name="Shape 30">
          <a:extLst>
            <a:ext uri="{FF2B5EF4-FFF2-40B4-BE49-F238E27FC236}">
              <a16:creationId xmlns:a16="http://schemas.microsoft.com/office/drawing/2014/main" id="{E632F806-FE88-4E04-B4FA-01D533A43AB7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1255096" y="33632177"/>
          <a:ext cx="1332156" cy="1077632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4</xdr:col>
      <xdr:colOff>183515</xdr:colOff>
      <xdr:row>161</xdr:row>
      <xdr:rowOff>190499</xdr:rowOff>
    </xdr:from>
    <xdr:to>
      <xdr:col>12</xdr:col>
      <xdr:colOff>400685</xdr:colOff>
      <xdr:row>167</xdr:row>
      <xdr:rowOff>156882</xdr:rowOff>
    </xdr:to>
    <xdr:sp macro="" textlink="">
      <xdr:nvSpPr>
        <xdr:cNvPr id="38" name="Shape 31">
          <a:extLst>
            <a:ext uri="{FF2B5EF4-FFF2-40B4-BE49-F238E27FC236}">
              <a16:creationId xmlns:a16="http://schemas.microsoft.com/office/drawing/2014/main" id="{803DC1D3-AB4F-4B47-BB97-17FBE9C2B30A}"/>
            </a:ext>
          </a:extLst>
        </xdr:cNvPr>
        <xdr:cNvSpPr txBox="1">
          <a:spLocks noChangeAspect="1"/>
        </xdr:cNvSpPr>
      </xdr:nvSpPr>
      <xdr:spPr>
        <a:xfrm>
          <a:off x="2603986" y="33617646"/>
          <a:ext cx="5058111" cy="107576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/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 b="1">
            <a:latin typeface="Cambria" panose="02040503050406030204"/>
            <a:ea typeface="Cambria" panose="02040503050406030204"/>
            <a:cs typeface="Cambria" panose="02040503050406030204"/>
            <a:sym typeface="Cambria" panose="0204050305040603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 b="1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rPr>
            <a:t>Republic of the Philippines</a:t>
          </a:r>
          <a:endParaRPr sz="1400"/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 b="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rPr>
            <a:t>OFFICE OF THE PRESIDENT</a:t>
          </a:r>
          <a:endParaRPr sz="1400" b="0">
            <a:latin typeface="Cambria" panose="02040503050406030204"/>
            <a:ea typeface="Cambria" panose="02040503050406030204"/>
            <a:cs typeface="Cambria" panose="02040503050406030204"/>
            <a:sym typeface="Cambria" panose="0204050305040603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National Irrigation Administration</a:t>
          </a:r>
          <a:endParaRPr sz="1600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Regional Office No. IV-A (CALABARZON)</a:t>
          </a:r>
          <a:endParaRPr sz="1200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7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 </a:t>
          </a:r>
          <a:endParaRPr lang="en-GB" altLang="en-US" sz="1400"/>
        </a:p>
      </xdr:txBody>
    </xdr:sp>
    <xdr:clientData/>
  </xdr:twoCellAnchor>
  <xdr:oneCellAnchor>
    <xdr:from>
      <xdr:col>0</xdr:col>
      <xdr:colOff>9525</xdr:colOff>
      <xdr:row>192</xdr:row>
      <xdr:rowOff>97155</xdr:rowOff>
    </xdr:from>
    <xdr:ext cx="12099925" cy="7957820"/>
    <xdr:pic>
      <xdr:nvPicPr>
        <xdr:cNvPr id="39" name="image14.png">
          <a:extLst>
            <a:ext uri="{FF2B5EF4-FFF2-40B4-BE49-F238E27FC236}">
              <a16:creationId xmlns:a16="http://schemas.microsoft.com/office/drawing/2014/main" id="{A69D6986-C3A5-48D0-8CA8-DF031332687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525" y="39743567"/>
          <a:ext cx="12099925" cy="7957820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95885</xdr:colOff>
      <xdr:row>221</xdr:row>
      <xdr:rowOff>186055</xdr:rowOff>
    </xdr:from>
    <xdr:to>
      <xdr:col>9</xdr:col>
      <xdr:colOff>111125</xdr:colOff>
      <xdr:row>228</xdr:row>
      <xdr:rowOff>77470</xdr:rowOff>
    </xdr:to>
    <xdr:sp macro="" textlink="">
      <xdr:nvSpPr>
        <xdr:cNvPr id="40" name="Text Box 52">
          <a:extLst>
            <a:ext uri="{FF2B5EF4-FFF2-40B4-BE49-F238E27FC236}">
              <a16:creationId xmlns:a16="http://schemas.microsoft.com/office/drawing/2014/main" id="{F2D8E317-2493-40A1-8433-6C71FEC62C57}"/>
            </a:ext>
          </a:extLst>
        </xdr:cNvPr>
        <xdr:cNvSpPr txBox="1"/>
      </xdr:nvSpPr>
      <xdr:spPr>
        <a:xfrm>
          <a:off x="95885" y="45296455"/>
          <a:ext cx="566356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GB" altLang="en-US" sz="1100" b="1"/>
            <a:t>National Hi-way, Rizal St., Brgy. Sta. Clara Sur, Pila, Laguna, Philippines</a:t>
          </a:r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</a:p>
        <a:p>
          <a:pPr algn="l"/>
          <a:r>
            <a:rPr lang="en-GB" altLang="en-US" sz="1100" b="1"/>
            <a:t>          • 576 5543 (Equipment) • 523 3668 (Finance) Telefax No.: (049) 559 0726</a:t>
          </a:r>
        </a:p>
        <a:p>
          <a:pPr algn="l"/>
          <a:r>
            <a:rPr lang="en-GB" altLang="en-US" sz="1100" b="1"/>
            <a:t>Website: region4a.nia.gov.ph • Facebook: www.facebook.com/region4a.nia.gov.ph</a:t>
          </a:r>
        </a:p>
        <a:p>
          <a:pPr algn="l"/>
          <a:r>
            <a:rPr lang="en-GB" altLang="en-US" sz="1100" b="1"/>
            <a:t>TIN: 000916415043</a:t>
          </a:r>
        </a:p>
        <a:p>
          <a:pPr algn="l"/>
          <a:r>
            <a:rPr lang="en-GB" altLang="en-US" sz="1100" b="1"/>
            <a:t> </a:t>
          </a:r>
        </a:p>
        <a:p>
          <a:pPr algn="l"/>
          <a:endParaRPr lang="en-GB" altLang="en-US" sz="1100" b="1"/>
        </a:p>
      </xdr:txBody>
    </xdr:sp>
    <xdr:clientData/>
  </xdr:twoCellAnchor>
  <xdr:oneCellAnchor>
    <xdr:from>
      <xdr:col>15</xdr:col>
      <xdr:colOff>1194435</xdr:colOff>
      <xdr:row>223</xdr:row>
      <xdr:rowOff>122555</xdr:rowOff>
    </xdr:from>
    <xdr:ext cx="1276350" cy="695325"/>
    <xdr:pic>
      <xdr:nvPicPr>
        <xdr:cNvPr id="41" name="image1.jpg">
          <a:extLst>
            <a:ext uri="{FF2B5EF4-FFF2-40B4-BE49-F238E27FC236}">
              <a16:creationId xmlns:a16="http://schemas.microsoft.com/office/drawing/2014/main" id="{297E9E28-57E9-4BE9-987C-9506EEC343B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0500360" y="45613955"/>
          <a:ext cx="1276350" cy="695325"/>
        </a:xfrm>
        <a:prstGeom prst="rect">
          <a:avLst/>
        </a:prstGeom>
        <a:noFill/>
      </xdr:spPr>
    </xdr:pic>
    <xdr:clientData fLocksWithSheet="0"/>
  </xdr:oneCellAnchor>
  <xdr:twoCellAnchor>
    <xdr:from>
      <xdr:col>14</xdr:col>
      <xdr:colOff>459441</xdr:colOff>
      <xdr:row>222</xdr:row>
      <xdr:rowOff>171450</xdr:rowOff>
    </xdr:from>
    <xdr:to>
      <xdr:col>16</xdr:col>
      <xdr:colOff>5118</xdr:colOff>
      <xdr:row>227</xdr:row>
      <xdr:rowOff>125095</xdr:rowOff>
    </xdr:to>
    <xdr:pic>
      <xdr:nvPicPr>
        <xdr:cNvPr id="42" name="Picture 4392222">
          <a:extLst>
            <a:ext uri="{FF2B5EF4-FFF2-40B4-BE49-F238E27FC236}">
              <a16:creationId xmlns:a16="http://schemas.microsoft.com/office/drawing/2014/main" id="{E693774F-C878-4A02-82E0-D7945DD2E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931088" y="45880244"/>
          <a:ext cx="755912" cy="906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64770</xdr:colOff>
      <xdr:row>228</xdr:row>
      <xdr:rowOff>75565</xdr:rowOff>
    </xdr:from>
    <xdr:to>
      <xdr:col>4</xdr:col>
      <xdr:colOff>290830</xdr:colOff>
      <xdr:row>229</xdr:row>
      <xdr:rowOff>182880</xdr:rowOff>
    </xdr:to>
    <xdr:pic>
      <xdr:nvPicPr>
        <xdr:cNvPr id="43" name="Picture 10532184">
          <a:extLst>
            <a:ext uri="{FF2B5EF4-FFF2-40B4-BE49-F238E27FC236}">
              <a16:creationId xmlns:a16="http://schemas.microsoft.com/office/drawing/2014/main" id="{C987DC82-B91D-41B5-8D3D-295FECE86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4770" y="46519465"/>
          <a:ext cx="2664460" cy="297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238"/>
  <sheetViews>
    <sheetView topLeftCell="A70" workbookViewId="0">
      <selection activeCell="B17" sqref="B17:J20"/>
    </sheetView>
  </sheetViews>
  <sheetFormatPr defaultColWidth="9.140625" defaultRowHeight="15"/>
  <cols>
    <col min="17" max="17" width="25.42578125" customWidth="1"/>
  </cols>
  <sheetData>
    <row r="1" spans="1:17" ht="15.75">
      <c r="A1" s="211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6"/>
      <c r="P1" s="212" t="s">
        <v>0</v>
      </c>
      <c r="Q1" s="146"/>
    </row>
    <row r="2" spans="1:17" ht="2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49"/>
      <c r="P2" s="229"/>
      <c r="Q2" s="130"/>
    </row>
    <row r="3" spans="1:17" ht="15.75">
      <c r="A3" s="3"/>
      <c r="B3" s="4"/>
      <c r="C3" s="4"/>
      <c r="D3" s="215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29"/>
      <c r="P3" s="216" t="s">
        <v>1</v>
      </c>
      <c r="Q3" s="129"/>
    </row>
    <row r="4" spans="1:17" ht="18">
      <c r="A4" s="3"/>
      <c r="B4" s="6"/>
      <c r="C4" s="6"/>
      <c r="D4" s="217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29"/>
      <c r="P4" s="218"/>
      <c r="Q4" s="130"/>
    </row>
    <row r="5" spans="1:17" ht="15.75">
      <c r="A5" s="3"/>
      <c r="B5" s="4"/>
      <c r="C5" s="4"/>
      <c r="D5" s="215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29"/>
      <c r="P5" s="219" t="s">
        <v>2</v>
      </c>
      <c r="Q5" s="137"/>
    </row>
    <row r="6" spans="1:17" ht="18">
      <c r="A6" s="3"/>
      <c r="B6" s="4"/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0"/>
      <c r="P6" s="202"/>
      <c r="Q6" s="129"/>
    </row>
    <row r="7" spans="1:17" ht="15.75">
      <c r="A7" s="203" t="s">
        <v>3</v>
      </c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51"/>
      <c r="Q7" s="88"/>
    </row>
    <row r="8" spans="1:17" ht="15.75">
      <c r="A8" s="170" t="s">
        <v>4</v>
      </c>
      <c r="B8" s="145"/>
      <c r="C8" s="20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6"/>
    </row>
    <row r="9" spans="1:17" ht="15.75">
      <c r="A9" s="147"/>
      <c r="B9" s="148"/>
      <c r="C9" s="7"/>
      <c r="D9" s="8"/>
      <c r="E9" s="9" t="s">
        <v>5</v>
      </c>
      <c r="F9" s="9"/>
      <c r="G9" s="8"/>
      <c r="H9" s="9" t="s">
        <v>6</v>
      </c>
      <c r="I9" s="9"/>
      <c r="J9" s="4"/>
      <c r="K9" s="8"/>
      <c r="L9" s="9" t="s">
        <v>7</v>
      </c>
      <c r="M9" s="9"/>
      <c r="N9" s="52" t="s">
        <v>8</v>
      </c>
      <c r="O9" s="9" t="s">
        <v>9</v>
      </c>
      <c r="P9" s="9"/>
      <c r="Q9" s="89"/>
    </row>
    <row r="10" spans="1:17" ht="15.75">
      <c r="A10" s="134"/>
      <c r="B10" s="135"/>
      <c r="C10" s="10"/>
      <c r="D10" s="11"/>
      <c r="E10" s="11"/>
      <c r="F10" s="12"/>
      <c r="G10" s="12"/>
      <c r="H10" s="206"/>
      <c r="I10" s="135"/>
      <c r="J10" s="11"/>
      <c r="K10" s="206"/>
      <c r="L10" s="135"/>
      <c r="M10" s="11"/>
      <c r="N10" s="11"/>
      <c r="O10" s="12"/>
      <c r="P10" s="11"/>
      <c r="Q10" s="90"/>
    </row>
    <row r="11" spans="1:17" ht="20.25">
      <c r="A11" s="170" t="s">
        <v>10</v>
      </c>
      <c r="B11" s="145"/>
      <c r="C11" s="171"/>
      <c r="D11" s="145"/>
      <c r="E11" s="145"/>
      <c r="F11" s="145"/>
      <c r="G11" s="145"/>
      <c r="H11" s="145"/>
      <c r="I11" s="145"/>
      <c r="J11" s="145"/>
      <c r="K11" s="171" t="s">
        <v>11</v>
      </c>
      <c r="L11" s="145"/>
      <c r="M11" s="145"/>
      <c r="N11" s="145"/>
      <c r="O11" s="145"/>
      <c r="P11" s="207" t="s">
        <v>12</v>
      </c>
      <c r="Q11" s="146"/>
    </row>
    <row r="12" spans="1:17" ht="20.25">
      <c r="A12" s="147"/>
      <c r="B12" s="148"/>
      <c r="C12" s="126"/>
      <c r="D12" s="123"/>
      <c r="E12" s="123"/>
      <c r="F12" s="123"/>
      <c r="G12" s="123"/>
      <c r="H12" s="123"/>
      <c r="I12" s="123"/>
      <c r="J12" s="123"/>
      <c r="K12" s="208"/>
      <c r="L12" s="148"/>
      <c r="M12" s="148"/>
      <c r="N12" s="148"/>
      <c r="O12" s="148"/>
      <c r="P12" s="228"/>
      <c r="Q12" s="129"/>
    </row>
    <row r="13" spans="1:17">
      <c r="A13" s="133" t="s">
        <v>13</v>
      </c>
      <c r="B13" s="121"/>
      <c r="C13" s="136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37"/>
    </row>
    <row r="14" spans="1:17">
      <c r="A14" s="134"/>
      <c r="B14" s="135"/>
      <c r="C14" s="131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2"/>
    </row>
    <row r="15" spans="1:17" ht="15.75">
      <c r="A15" s="197" t="s">
        <v>14</v>
      </c>
      <c r="B15" s="180"/>
      <c r="C15" s="180"/>
      <c r="D15" s="180"/>
      <c r="E15" s="180"/>
      <c r="F15" s="180"/>
      <c r="G15" s="180"/>
      <c r="H15" s="180"/>
      <c r="I15" s="180"/>
      <c r="J15" s="180"/>
      <c r="K15" s="198"/>
      <c r="L15" s="181"/>
      <c r="M15" s="198" t="s">
        <v>15</v>
      </c>
      <c r="N15" s="180"/>
      <c r="O15" s="181"/>
      <c r="P15" s="198" t="s">
        <v>16</v>
      </c>
      <c r="Q15" s="199"/>
    </row>
    <row r="16" spans="1:17" ht="15.75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53"/>
      <c r="L16" s="54"/>
      <c r="M16" s="53"/>
      <c r="N16" s="14"/>
      <c r="O16" s="55"/>
      <c r="P16" s="56"/>
      <c r="Q16" s="91"/>
    </row>
    <row r="17" spans="1:17" ht="18">
      <c r="A17" s="15"/>
      <c r="B17" s="162" t="s">
        <v>17</v>
      </c>
      <c r="C17" s="148"/>
      <c r="D17" s="148"/>
      <c r="E17" s="148"/>
      <c r="F17" s="148"/>
      <c r="G17" s="148"/>
      <c r="H17" s="148"/>
      <c r="I17" s="148"/>
      <c r="J17" s="157"/>
      <c r="K17" s="225"/>
      <c r="L17" s="157"/>
      <c r="M17" s="7"/>
      <c r="N17" s="4"/>
      <c r="O17" s="57" t="s">
        <v>18</v>
      </c>
      <c r="P17" s="58"/>
      <c r="Q17" s="92" t="e">
        <f>#REF!</f>
        <v>#REF!</v>
      </c>
    </row>
    <row r="18" spans="1:17" ht="18">
      <c r="A18" s="15"/>
      <c r="B18" s="148"/>
      <c r="C18" s="148"/>
      <c r="D18" s="148"/>
      <c r="E18" s="148"/>
      <c r="F18" s="148"/>
      <c r="G18" s="148"/>
      <c r="H18" s="148"/>
      <c r="I18" s="148"/>
      <c r="J18" s="157"/>
      <c r="K18" s="59"/>
      <c r="L18" s="60"/>
      <c r="M18" s="7"/>
      <c r="N18" s="4"/>
      <c r="O18" s="61"/>
      <c r="P18" s="7"/>
      <c r="Q18" s="93"/>
    </row>
    <row r="19" spans="1:17" ht="18">
      <c r="A19" s="15"/>
      <c r="B19" s="148"/>
      <c r="C19" s="148"/>
      <c r="D19" s="148"/>
      <c r="E19" s="148"/>
      <c r="F19" s="148"/>
      <c r="G19" s="148"/>
      <c r="H19" s="148"/>
      <c r="I19" s="148"/>
      <c r="J19" s="157"/>
      <c r="K19" s="59"/>
      <c r="L19" s="60"/>
      <c r="M19" s="7"/>
      <c r="N19" s="4"/>
      <c r="O19" s="61"/>
      <c r="P19" s="62"/>
      <c r="Q19" s="93"/>
    </row>
    <row r="20" spans="1:17" ht="18">
      <c r="A20" s="15"/>
      <c r="B20" s="148"/>
      <c r="C20" s="148"/>
      <c r="D20" s="148"/>
      <c r="E20" s="148"/>
      <c r="F20" s="148"/>
      <c r="G20" s="148"/>
      <c r="H20" s="148"/>
      <c r="I20" s="148"/>
      <c r="J20" s="157"/>
      <c r="K20" s="59"/>
      <c r="L20" s="60"/>
      <c r="M20" s="7"/>
      <c r="N20" s="4"/>
      <c r="O20" s="61"/>
      <c r="P20" s="62"/>
      <c r="Q20" s="93"/>
    </row>
    <row r="21" spans="1:17" ht="18">
      <c r="A21" s="15"/>
      <c r="B21" s="16"/>
      <c r="C21" s="16"/>
      <c r="D21" s="16"/>
      <c r="E21" s="16"/>
      <c r="F21" s="16"/>
      <c r="G21" s="16"/>
      <c r="H21" s="16"/>
      <c r="I21" s="16"/>
      <c r="J21" s="63"/>
      <c r="K21" s="59"/>
      <c r="L21" s="60"/>
      <c r="M21" s="7"/>
      <c r="N21" s="4"/>
      <c r="O21" s="61"/>
      <c r="P21" s="62"/>
      <c r="Q21" s="93"/>
    </row>
    <row r="22" spans="1:17" ht="15.75">
      <c r="A22" s="17"/>
      <c r="B22" s="18"/>
      <c r="C22" s="226"/>
      <c r="D22" s="148"/>
      <c r="E22" s="19"/>
      <c r="F22" s="20"/>
      <c r="G22" s="227"/>
      <c r="H22" s="148"/>
      <c r="I22" s="148"/>
      <c r="J22" s="64"/>
      <c r="K22" s="7"/>
      <c r="L22" s="61"/>
      <c r="M22" s="7"/>
      <c r="N22" s="4"/>
      <c r="O22" s="61"/>
      <c r="P22" s="7"/>
      <c r="Q22" s="93"/>
    </row>
    <row r="23" spans="1:17" ht="15.75">
      <c r="A23" s="17"/>
      <c r="B23" s="18"/>
      <c r="C23" s="222" t="s">
        <v>19</v>
      </c>
      <c r="D23" s="148"/>
      <c r="E23" s="148"/>
      <c r="F23" s="223"/>
      <c r="G23" s="148"/>
      <c r="H23" s="19"/>
      <c r="I23" s="19"/>
      <c r="J23" s="64"/>
      <c r="K23" s="4"/>
      <c r="L23" s="61"/>
      <c r="M23" s="7"/>
      <c r="N23" s="4"/>
      <c r="O23" s="61"/>
      <c r="P23" s="7"/>
      <c r="Q23" s="93"/>
    </row>
    <row r="24" spans="1:17" ht="15.75">
      <c r="A24" s="17"/>
      <c r="B24" s="18"/>
      <c r="C24" s="222" t="s">
        <v>20</v>
      </c>
      <c r="D24" s="148"/>
      <c r="E24" s="148"/>
      <c r="F24" s="223"/>
      <c r="G24" s="148"/>
      <c r="H24" s="19"/>
      <c r="I24" s="19"/>
      <c r="J24" s="64"/>
      <c r="K24" s="4"/>
      <c r="L24" s="61"/>
      <c r="M24" s="7"/>
      <c r="N24" s="4"/>
      <c r="O24" s="61"/>
      <c r="P24" s="7"/>
      <c r="Q24" s="93"/>
    </row>
    <row r="25" spans="1:17" ht="15.75">
      <c r="A25" s="17"/>
      <c r="B25" s="18"/>
      <c r="C25" s="222" t="s">
        <v>21</v>
      </c>
      <c r="D25" s="148"/>
      <c r="E25" s="148"/>
      <c r="F25" s="223"/>
      <c r="G25" s="148"/>
      <c r="H25" s="19"/>
      <c r="I25" s="19"/>
      <c r="J25" s="64"/>
      <c r="K25" s="4"/>
      <c r="L25" s="61"/>
      <c r="M25" s="7"/>
      <c r="N25" s="4"/>
      <c r="O25" s="61"/>
      <c r="P25" s="7"/>
      <c r="Q25" s="93"/>
    </row>
    <row r="26" spans="1:17" ht="15.75">
      <c r="A26" s="17"/>
      <c r="B26" s="18"/>
      <c r="C26" s="22"/>
      <c r="D26" s="22"/>
      <c r="E26" s="23"/>
      <c r="F26" s="20"/>
      <c r="G26" s="24"/>
      <c r="H26" s="24"/>
      <c r="I26" s="24"/>
      <c r="J26" s="64"/>
      <c r="K26" s="4"/>
      <c r="L26" s="61"/>
      <c r="M26" s="7"/>
      <c r="N26" s="4"/>
      <c r="O26" s="61"/>
      <c r="P26" s="7"/>
      <c r="Q26" s="93"/>
    </row>
    <row r="27" spans="1:17" ht="15.75">
      <c r="A27" s="17"/>
      <c r="B27" s="18"/>
      <c r="C27" s="22"/>
      <c r="D27" s="22"/>
      <c r="E27" s="23"/>
      <c r="F27" s="20"/>
      <c r="G27" s="25"/>
      <c r="H27" s="25"/>
      <c r="I27" s="25"/>
      <c r="J27" s="64"/>
      <c r="K27" s="4"/>
      <c r="L27" s="61"/>
      <c r="M27" s="7"/>
      <c r="N27" s="4"/>
      <c r="O27" s="61"/>
      <c r="P27" s="7"/>
      <c r="Q27" s="93"/>
    </row>
    <row r="28" spans="1:17" ht="15.75">
      <c r="A28" s="17"/>
      <c r="B28" s="26"/>
      <c r="C28" s="117" t="s">
        <v>22</v>
      </c>
      <c r="D28" s="27"/>
      <c r="E28" s="23"/>
      <c r="F28" s="28"/>
      <c r="G28" s="29"/>
      <c r="H28" s="29"/>
      <c r="I28" s="29"/>
      <c r="J28" s="64"/>
      <c r="K28" s="9"/>
      <c r="L28" s="60"/>
      <c r="M28" s="59"/>
      <c r="N28" s="9"/>
      <c r="O28" s="60"/>
      <c r="P28" s="65"/>
      <c r="Q28" s="93"/>
    </row>
    <row r="29" spans="1:17" ht="15.75">
      <c r="A29" s="17"/>
      <c r="B29" s="26"/>
      <c r="C29" s="27" t="e">
        <f>#REF!</f>
        <v>#REF!</v>
      </c>
      <c r="D29" s="27"/>
      <c r="E29" s="23"/>
      <c r="F29" s="118" t="s">
        <v>23</v>
      </c>
      <c r="G29" s="29" t="e">
        <f>C29*0.05</f>
        <v>#REF!</v>
      </c>
      <c r="H29" s="29"/>
      <c r="I29" s="29"/>
      <c r="J29" s="64"/>
      <c r="K29" s="9"/>
      <c r="L29" s="60"/>
      <c r="M29" s="59"/>
      <c r="N29" s="9"/>
      <c r="O29" s="60"/>
      <c r="P29" s="65"/>
      <c r="Q29" s="93"/>
    </row>
    <row r="30" spans="1:17" ht="15.75">
      <c r="A30" s="17"/>
      <c r="B30" s="26"/>
      <c r="C30" s="27" t="e">
        <f>C29</f>
        <v>#REF!</v>
      </c>
      <c r="D30" s="117" t="s">
        <v>24</v>
      </c>
      <c r="E30" s="23" t="e">
        <f>#REF!</f>
        <v>#REF!</v>
      </c>
      <c r="F30" s="118" t="s">
        <v>25</v>
      </c>
      <c r="G30" s="29" t="e">
        <f>SUM(E30+C30)*0.02</f>
        <v>#REF!</v>
      </c>
      <c r="H30" s="29"/>
      <c r="I30" s="29"/>
      <c r="J30" s="64"/>
      <c r="K30" s="9"/>
      <c r="L30" s="60"/>
      <c r="M30" s="59"/>
      <c r="N30" s="9"/>
      <c r="O30" s="60"/>
      <c r="P30" s="65"/>
      <c r="Q30" s="93"/>
    </row>
    <row r="31" spans="1:17" ht="15.75">
      <c r="A31" s="17"/>
      <c r="B31" s="26"/>
      <c r="C31" s="27"/>
      <c r="D31" s="27"/>
      <c r="E31" s="23"/>
      <c r="F31" s="28"/>
      <c r="G31" s="30" t="e">
        <f>SUM(G29:G30)</f>
        <v>#REF!</v>
      </c>
      <c r="H31" s="29"/>
      <c r="I31" s="29"/>
      <c r="J31" s="64"/>
      <c r="K31" s="9"/>
      <c r="L31" s="60"/>
      <c r="M31" s="59"/>
      <c r="N31" s="9"/>
      <c r="O31" s="60"/>
      <c r="P31" s="65"/>
      <c r="Q31" s="93" t="e">
        <f>G31</f>
        <v>#REF!</v>
      </c>
    </row>
    <row r="32" spans="1:17" ht="15.75">
      <c r="A32" s="17"/>
      <c r="B32" s="26"/>
      <c r="C32" s="27"/>
      <c r="D32" s="27"/>
      <c r="E32" s="31"/>
      <c r="F32" s="28"/>
      <c r="G32" s="29"/>
      <c r="H32" s="29"/>
      <c r="I32" s="29"/>
      <c r="J32" s="64"/>
      <c r="K32" s="9"/>
      <c r="L32" s="60"/>
      <c r="M32" s="59"/>
      <c r="N32" s="9"/>
      <c r="O32" s="60"/>
      <c r="P32" s="65"/>
      <c r="Q32" s="93"/>
    </row>
    <row r="33" spans="1:17" ht="15.75">
      <c r="A33" s="17"/>
      <c r="B33" s="26"/>
      <c r="C33" s="27"/>
      <c r="D33" s="27"/>
      <c r="E33" s="31"/>
      <c r="F33" s="28"/>
      <c r="G33" s="29"/>
      <c r="H33" s="29"/>
      <c r="I33" s="29"/>
      <c r="J33" s="64"/>
      <c r="K33" s="9"/>
      <c r="L33" s="60"/>
      <c r="M33" s="59"/>
      <c r="N33" s="9"/>
      <c r="O33" s="60"/>
      <c r="P33" s="65"/>
      <c r="Q33" s="93"/>
    </row>
    <row r="34" spans="1:17" ht="15.75">
      <c r="A34" s="17"/>
      <c r="B34" s="26"/>
      <c r="C34" s="119" t="s">
        <v>26</v>
      </c>
      <c r="D34" s="117" t="s">
        <v>27</v>
      </c>
      <c r="E34" s="31"/>
      <c r="F34" s="28"/>
      <c r="G34" s="29"/>
      <c r="H34" s="29"/>
      <c r="I34" s="29"/>
      <c r="J34" s="64"/>
      <c r="K34" s="9"/>
      <c r="L34" s="60"/>
      <c r="M34" s="59"/>
      <c r="N34" s="9"/>
      <c r="O34" s="60"/>
      <c r="P34" s="65"/>
      <c r="Q34" s="93"/>
    </row>
    <row r="35" spans="1:17" ht="15.75">
      <c r="A35" s="17"/>
      <c r="B35" s="26"/>
      <c r="C35" s="119" t="s">
        <v>28</v>
      </c>
      <c r="D35" s="117" t="s">
        <v>27</v>
      </c>
      <c r="E35" s="31"/>
      <c r="F35" s="28"/>
      <c r="G35" s="29"/>
      <c r="H35" s="29"/>
      <c r="I35" s="29"/>
      <c r="J35" s="64"/>
      <c r="K35" s="9"/>
      <c r="L35" s="60"/>
      <c r="M35" s="59"/>
      <c r="N35" s="9"/>
      <c r="O35" s="60"/>
      <c r="P35" s="65"/>
      <c r="Q35" s="93"/>
    </row>
    <row r="36" spans="1:17" ht="15.75">
      <c r="A36" s="17"/>
      <c r="B36" s="18"/>
      <c r="C36" s="21" t="s">
        <v>29</v>
      </c>
      <c r="D36" s="117" t="s">
        <v>27</v>
      </c>
      <c r="E36" s="18"/>
      <c r="F36" s="18"/>
      <c r="G36" s="18"/>
      <c r="H36" s="18"/>
      <c r="I36" s="18"/>
      <c r="J36" s="66"/>
      <c r="K36" s="67"/>
      <c r="L36" s="68"/>
      <c r="M36" s="69"/>
      <c r="N36" s="67"/>
      <c r="O36" s="68"/>
      <c r="P36" s="70"/>
      <c r="Q36" s="94"/>
    </row>
    <row r="37" spans="1:17" ht="15.75">
      <c r="A37" s="17"/>
      <c r="B37" s="9"/>
      <c r="C37" s="9"/>
      <c r="D37" s="9"/>
      <c r="E37" s="9"/>
      <c r="F37" s="32"/>
      <c r="G37" s="33"/>
      <c r="H37" s="33"/>
      <c r="I37" s="33"/>
      <c r="J37" s="33"/>
      <c r="K37" s="69"/>
      <c r="L37" s="68"/>
      <c r="M37" s="69"/>
      <c r="N37" s="67"/>
      <c r="O37" s="68"/>
      <c r="P37" s="70"/>
      <c r="Q37" s="95"/>
    </row>
    <row r="38" spans="1:17" ht="15.75">
      <c r="A38" s="195" t="s">
        <v>30</v>
      </c>
      <c r="B38" s="135"/>
      <c r="C38" s="135"/>
      <c r="D38" s="135"/>
      <c r="E38" s="135"/>
      <c r="F38" s="135"/>
      <c r="G38" s="135"/>
      <c r="H38" s="135"/>
      <c r="I38" s="135"/>
      <c r="J38" s="135"/>
      <c r="K38" s="71"/>
      <c r="L38" s="72"/>
      <c r="M38" s="71"/>
      <c r="N38" s="12"/>
      <c r="O38" s="73" t="s">
        <v>18</v>
      </c>
      <c r="P38" s="74"/>
      <c r="Q38" s="96" t="e">
        <f>Q17-Q31</f>
        <v>#REF!</v>
      </c>
    </row>
    <row r="39" spans="1:17" ht="15.75">
      <c r="A39" s="34" t="s">
        <v>31</v>
      </c>
      <c r="B39" s="196" t="s">
        <v>32</v>
      </c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29"/>
    </row>
    <row r="40" spans="1:17" ht="15.75">
      <c r="A40" s="35"/>
      <c r="B40" s="5"/>
      <c r="C40" s="4" t="s">
        <v>33</v>
      </c>
      <c r="D40" s="4"/>
      <c r="E40" s="4"/>
      <c r="F40" s="4"/>
      <c r="G40" s="4"/>
      <c r="H40" s="4"/>
      <c r="I40" s="4"/>
      <c r="J40" s="4"/>
      <c r="K40" s="5"/>
      <c r="L40" s="75"/>
      <c r="M40" s="75"/>
      <c r="N40" s="9"/>
      <c r="O40" s="75"/>
      <c r="P40" s="76"/>
      <c r="Q40" s="49"/>
    </row>
    <row r="41" spans="1:17" ht="15.75">
      <c r="A41" s="35"/>
      <c r="B41" s="5"/>
      <c r="C41" s="4"/>
      <c r="D41" s="4"/>
      <c r="E41" s="4"/>
      <c r="F41" s="4"/>
      <c r="G41" s="4"/>
      <c r="H41" s="4"/>
      <c r="I41" s="4"/>
      <c r="J41" s="4"/>
      <c r="K41" s="5"/>
      <c r="L41" s="75"/>
      <c r="M41" s="75"/>
      <c r="N41" s="9"/>
      <c r="O41" s="75"/>
      <c r="P41" s="76"/>
      <c r="Q41" s="49"/>
    </row>
    <row r="42" spans="1:17" ht="15.75">
      <c r="A42" s="35"/>
      <c r="B42" s="5"/>
      <c r="C42" s="4"/>
      <c r="D42" s="4"/>
      <c r="E42" s="4"/>
      <c r="F42" s="4"/>
      <c r="G42" s="4"/>
      <c r="H42" s="4"/>
      <c r="I42" s="4"/>
      <c r="J42" s="4"/>
      <c r="K42" s="5"/>
      <c r="L42" s="75"/>
      <c r="M42" s="75"/>
      <c r="N42" s="9"/>
      <c r="O42" s="75"/>
      <c r="P42" s="76"/>
      <c r="Q42" s="49"/>
    </row>
    <row r="43" spans="1:17" ht="15.75">
      <c r="A43" s="35"/>
      <c r="B43" s="5"/>
      <c r="C43" s="4"/>
      <c r="D43" s="4"/>
      <c r="E43" s="4"/>
      <c r="F43" s="4"/>
      <c r="G43" s="4"/>
      <c r="H43" s="4"/>
      <c r="I43" s="4"/>
      <c r="J43" s="4"/>
      <c r="K43" s="5"/>
      <c r="L43" s="75"/>
      <c r="M43" s="75"/>
      <c r="N43" s="9"/>
      <c r="O43" s="75"/>
      <c r="P43" s="76"/>
      <c r="Q43" s="49"/>
    </row>
    <row r="44" spans="1:17" ht="20.25">
      <c r="A44" s="224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30"/>
    </row>
    <row r="45" spans="1:17" ht="20.25">
      <c r="A45" s="183" t="s">
        <v>34</v>
      </c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29"/>
    </row>
    <row r="46" spans="1:17" ht="15.75">
      <c r="A46" s="36" t="s">
        <v>35</v>
      </c>
      <c r="B46" s="37" t="s">
        <v>36</v>
      </c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97"/>
    </row>
    <row r="47" spans="1:17" ht="15.75">
      <c r="A47" s="184" t="s">
        <v>37</v>
      </c>
      <c r="B47" s="185"/>
      <c r="C47" s="185"/>
      <c r="D47" s="185"/>
      <c r="E47" s="185"/>
      <c r="F47" s="185"/>
      <c r="G47" s="185"/>
      <c r="H47" s="185"/>
      <c r="I47" s="185"/>
      <c r="J47" s="185"/>
      <c r="K47" s="186" t="s">
        <v>38</v>
      </c>
      <c r="L47" s="185"/>
      <c r="M47" s="187"/>
      <c r="N47" s="77"/>
      <c r="O47" s="78"/>
      <c r="P47" s="79" t="s">
        <v>39</v>
      </c>
      <c r="Q47" s="98" t="s">
        <v>40</v>
      </c>
    </row>
    <row r="48" spans="1:17" ht="18">
      <c r="A48" s="39"/>
      <c r="B48" s="188" t="s">
        <v>41</v>
      </c>
      <c r="C48" s="148"/>
      <c r="D48" s="148"/>
      <c r="E48" s="148"/>
      <c r="F48" s="148"/>
      <c r="G48" s="148"/>
      <c r="H48" s="148"/>
      <c r="I48" s="148"/>
      <c r="J48" s="157"/>
      <c r="K48" s="220" t="s">
        <v>42</v>
      </c>
      <c r="L48" s="148"/>
      <c r="M48" s="157"/>
      <c r="N48" s="221" t="e">
        <f>Q38</f>
        <v>#REF!</v>
      </c>
      <c r="O48" s="121"/>
      <c r="P48" s="125"/>
      <c r="Q48" s="99"/>
    </row>
    <row r="49" spans="1:17" ht="18">
      <c r="A49" s="39"/>
      <c r="B49" s="40"/>
      <c r="C49" s="40"/>
      <c r="D49" s="40"/>
      <c r="E49" s="40"/>
      <c r="F49" s="40"/>
      <c r="G49" s="40"/>
      <c r="H49" s="40"/>
      <c r="I49" s="40"/>
      <c r="J49" s="40"/>
      <c r="K49" s="80"/>
      <c r="L49" s="81"/>
      <c r="M49" s="82"/>
      <c r="N49" s="81"/>
      <c r="O49" s="81"/>
      <c r="P49" s="83"/>
      <c r="Q49" s="99"/>
    </row>
    <row r="50" spans="1:17" ht="18">
      <c r="A50" s="41"/>
      <c r="B50" s="172" t="s">
        <v>43</v>
      </c>
      <c r="C50" s="135"/>
      <c r="D50" s="135"/>
      <c r="E50" s="135"/>
      <c r="F50" s="135"/>
      <c r="G50" s="135"/>
      <c r="H50" s="135"/>
      <c r="I50" s="135"/>
      <c r="J50" s="135"/>
      <c r="K50" s="173" t="s">
        <v>42</v>
      </c>
      <c r="L50" s="135"/>
      <c r="M50" s="159"/>
      <c r="N50" s="84"/>
      <c r="O50" s="84"/>
      <c r="P50" s="85"/>
      <c r="Q50" s="100" t="e">
        <f>N48</f>
        <v>#REF!</v>
      </c>
    </row>
    <row r="51" spans="1:17" ht="15.75">
      <c r="A51" s="42" t="s">
        <v>44</v>
      </c>
      <c r="B51" s="174" t="s">
        <v>45</v>
      </c>
      <c r="C51" s="135"/>
      <c r="D51" s="135"/>
      <c r="E51" s="135"/>
      <c r="F51" s="135"/>
      <c r="G51" s="135"/>
      <c r="H51" s="135"/>
      <c r="I51" s="135"/>
      <c r="J51" s="135"/>
      <c r="K51" s="86" t="s">
        <v>46</v>
      </c>
      <c r="L51" s="175" t="s">
        <v>47</v>
      </c>
      <c r="M51" s="135"/>
      <c r="N51" s="135"/>
      <c r="O51" s="135"/>
      <c r="P51" s="135"/>
      <c r="Q51" s="132"/>
    </row>
    <row r="52" spans="1:17" ht="18">
      <c r="A52" s="43"/>
      <c r="B52" s="44"/>
      <c r="C52" s="45" t="s">
        <v>48</v>
      </c>
      <c r="D52" s="45"/>
      <c r="E52" s="45"/>
      <c r="F52" s="45"/>
      <c r="G52" s="45"/>
      <c r="H52" s="45"/>
      <c r="I52" s="45"/>
      <c r="J52" s="45"/>
      <c r="K52" s="144" t="s">
        <v>49</v>
      </c>
      <c r="L52" s="145"/>
      <c r="M52" s="145"/>
      <c r="N52" s="145"/>
      <c r="O52" s="145"/>
      <c r="P52" s="145"/>
      <c r="Q52" s="146"/>
    </row>
    <row r="53" spans="1:17" ht="18">
      <c r="A53" s="17"/>
      <c r="B53" s="8"/>
      <c r="C53" s="46" t="s">
        <v>50</v>
      </c>
      <c r="D53" s="46"/>
      <c r="E53" s="46"/>
      <c r="F53" s="46"/>
      <c r="G53" s="46"/>
      <c r="H53" s="46"/>
      <c r="I53" s="46"/>
      <c r="J53" s="46"/>
      <c r="K53" s="147"/>
      <c r="L53" s="148"/>
      <c r="M53" s="148"/>
      <c r="N53" s="148"/>
      <c r="O53" s="148"/>
      <c r="P53" s="148"/>
      <c r="Q53" s="129"/>
    </row>
    <row r="54" spans="1:17" ht="18">
      <c r="A54" s="35"/>
      <c r="B54" s="8"/>
      <c r="C54" s="46" t="s">
        <v>51</v>
      </c>
      <c r="D54" s="46"/>
      <c r="E54" s="46"/>
      <c r="F54" s="46"/>
      <c r="G54" s="46"/>
      <c r="H54" s="46"/>
      <c r="I54" s="46"/>
      <c r="J54" s="46"/>
      <c r="K54" s="147"/>
      <c r="L54" s="148"/>
      <c r="M54" s="148"/>
      <c r="N54" s="148"/>
      <c r="O54" s="148"/>
      <c r="P54" s="148"/>
      <c r="Q54" s="129"/>
    </row>
    <row r="55" spans="1:17" ht="18">
      <c r="A55" s="47"/>
      <c r="B55" s="12"/>
      <c r="C55" s="48" t="s">
        <v>52</v>
      </c>
      <c r="D55" s="48"/>
      <c r="E55" s="48"/>
      <c r="F55" s="48"/>
      <c r="G55" s="48"/>
      <c r="H55" s="48"/>
      <c r="I55" s="48"/>
      <c r="J55" s="48"/>
      <c r="K55" s="134"/>
      <c r="L55" s="135"/>
      <c r="M55" s="135"/>
      <c r="N55" s="135"/>
      <c r="O55" s="135"/>
      <c r="P55" s="135"/>
      <c r="Q55" s="132"/>
    </row>
    <row r="56" spans="1:17">
      <c r="A56" s="149" t="s">
        <v>53</v>
      </c>
      <c r="B56" s="145"/>
      <c r="C56" s="151"/>
      <c r="D56" s="145"/>
      <c r="E56" s="145"/>
      <c r="F56" s="145"/>
      <c r="G56" s="145"/>
      <c r="H56" s="145"/>
      <c r="I56" s="145"/>
      <c r="J56" s="145"/>
      <c r="K56" s="149" t="s">
        <v>53</v>
      </c>
      <c r="L56" s="150"/>
      <c r="M56" s="152"/>
      <c r="N56" s="145"/>
      <c r="O56" s="145"/>
      <c r="P56" s="145"/>
      <c r="Q56" s="146"/>
    </row>
    <row r="57" spans="1:17">
      <c r="A57" s="122"/>
      <c r="B57" s="123"/>
      <c r="C57" s="126"/>
      <c r="D57" s="123"/>
      <c r="E57" s="123"/>
      <c r="F57" s="123"/>
      <c r="G57" s="123"/>
      <c r="H57" s="123"/>
      <c r="I57" s="123"/>
      <c r="J57" s="123"/>
      <c r="K57" s="122"/>
      <c r="L57" s="127"/>
      <c r="M57" s="123"/>
      <c r="N57" s="123"/>
      <c r="O57" s="123"/>
      <c r="P57" s="123"/>
      <c r="Q57" s="130"/>
    </row>
    <row r="58" spans="1:17">
      <c r="A58" s="153" t="s">
        <v>54</v>
      </c>
      <c r="B58" s="121"/>
      <c r="C58" s="155"/>
      <c r="D58" s="121"/>
      <c r="E58" s="121"/>
      <c r="F58" s="121"/>
      <c r="G58" s="121"/>
      <c r="H58" s="121"/>
      <c r="I58" s="121"/>
      <c r="J58" s="121"/>
      <c r="K58" s="154" t="s">
        <v>54</v>
      </c>
      <c r="L58" s="125"/>
      <c r="M58" s="156"/>
      <c r="N58" s="121"/>
      <c r="O58" s="121"/>
      <c r="P58" s="121"/>
      <c r="Q58" s="137"/>
    </row>
    <row r="59" spans="1:17">
      <c r="A59" s="122"/>
      <c r="B59" s="123"/>
      <c r="C59" s="126"/>
      <c r="D59" s="123"/>
      <c r="E59" s="123"/>
      <c r="F59" s="123"/>
      <c r="G59" s="123"/>
      <c r="H59" s="123"/>
      <c r="I59" s="123"/>
      <c r="J59" s="123"/>
      <c r="K59" s="122"/>
      <c r="L59" s="127"/>
      <c r="M59" s="123"/>
      <c r="N59" s="123"/>
      <c r="O59" s="123"/>
      <c r="P59" s="123"/>
      <c r="Q59" s="130"/>
    </row>
    <row r="60" spans="1:17">
      <c r="A60" s="153" t="s">
        <v>55</v>
      </c>
      <c r="B60" s="121"/>
      <c r="C60" s="176" t="s">
        <v>56</v>
      </c>
      <c r="D60" s="121"/>
      <c r="E60" s="121"/>
      <c r="F60" s="121"/>
      <c r="G60" s="121"/>
      <c r="H60" s="121"/>
      <c r="I60" s="121"/>
      <c r="J60" s="137"/>
      <c r="K60" s="154" t="s">
        <v>55</v>
      </c>
      <c r="L60" s="125"/>
      <c r="M60" s="176" t="s">
        <v>57</v>
      </c>
      <c r="N60" s="121"/>
      <c r="O60" s="121"/>
      <c r="P60" s="121"/>
      <c r="Q60" s="137"/>
    </row>
    <row r="61" spans="1:17">
      <c r="A61" s="147"/>
      <c r="B61" s="148"/>
      <c r="C61" s="177" t="s">
        <v>58</v>
      </c>
      <c r="D61" s="123"/>
      <c r="E61" s="123"/>
      <c r="F61" s="123"/>
      <c r="G61" s="123"/>
      <c r="H61" s="123"/>
      <c r="I61" s="123"/>
      <c r="J61" s="123"/>
      <c r="K61" s="147"/>
      <c r="L61" s="157"/>
      <c r="M61" s="178" t="s">
        <v>59</v>
      </c>
      <c r="N61" s="123"/>
      <c r="O61" s="123"/>
      <c r="P61" s="123"/>
      <c r="Q61" s="130"/>
    </row>
    <row r="62" spans="1:17">
      <c r="A62" s="158" t="s">
        <v>60</v>
      </c>
      <c r="B62" s="121"/>
      <c r="C62" s="160"/>
      <c r="D62" s="121"/>
      <c r="E62" s="121"/>
      <c r="F62" s="121"/>
      <c r="G62" s="121"/>
      <c r="H62" s="121"/>
      <c r="I62" s="121"/>
      <c r="J62" s="121"/>
      <c r="K62" s="158" t="s">
        <v>60</v>
      </c>
      <c r="L62" s="125"/>
      <c r="M62" s="161"/>
      <c r="N62" s="121"/>
      <c r="O62" s="121"/>
      <c r="P62" s="121"/>
      <c r="Q62" s="137"/>
    </row>
    <row r="63" spans="1:17">
      <c r="A63" s="134"/>
      <c r="B63" s="135"/>
      <c r="C63" s="131"/>
      <c r="D63" s="135"/>
      <c r="E63" s="135"/>
      <c r="F63" s="135"/>
      <c r="G63" s="135"/>
      <c r="H63" s="135"/>
      <c r="I63" s="135"/>
      <c r="J63" s="135"/>
      <c r="K63" s="134"/>
      <c r="L63" s="159"/>
      <c r="M63" s="135"/>
      <c r="N63" s="135"/>
      <c r="O63" s="135"/>
      <c r="P63" s="135"/>
      <c r="Q63" s="132"/>
    </row>
    <row r="64" spans="1:17" ht="15.75">
      <c r="A64" s="36" t="s">
        <v>61</v>
      </c>
      <c r="B64" s="179" t="s">
        <v>62</v>
      </c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1"/>
      <c r="P64" s="87" t="s">
        <v>63</v>
      </c>
      <c r="Q64" s="101"/>
    </row>
    <row r="65" spans="1:17">
      <c r="A65" s="120" t="s">
        <v>64</v>
      </c>
      <c r="B65" s="121"/>
      <c r="C65" s="124"/>
      <c r="D65" s="121"/>
      <c r="E65" s="121"/>
      <c r="F65" s="121"/>
      <c r="G65" s="121"/>
      <c r="H65" s="121"/>
      <c r="I65" s="125"/>
      <c r="J65" s="169" t="s">
        <v>65</v>
      </c>
      <c r="K65" s="163" t="s">
        <v>66</v>
      </c>
      <c r="L65" s="121"/>
      <c r="M65" s="121"/>
      <c r="N65" s="121"/>
      <c r="O65" s="125"/>
      <c r="P65" s="128" t="s">
        <v>67</v>
      </c>
      <c r="Q65" s="129"/>
    </row>
    <row r="66" spans="1:17" ht="18">
      <c r="A66" s="122"/>
      <c r="B66" s="123"/>
      <c r="C66" s="126"/>
      <c r="D66" s="123"/>
      <c r="E66" s="123"/>
      <c r="F66" s="123"/>
      <c r="G66" s="123"/>
      <c r="H66" s="123"/>
      <c r="I66" s="127"/>
      <c r="J66" s="126"/>
      <c r="K66" s="164"/>
      <c r="L66" s="123"/>
      <c r="M66" s="123"/>
      <c r="N66" s="123"/>
      <c r="O66" s="127"/>
      <c r="P66" s="126"/>
      <c r="Q66" s="130"/>
    </row>
    <row r="67" spans="1:17" ht="15.75">
      <c r="A67" s="120" t="s">
        <v>68</v>
      </c>
      <c r="B67" s="121"/>
      <c r="C67" s="124"/>
      <c r="D67" s="121"/>
      <c r="E67" s="121"/>
      <c r="F67" s="121"/>
      <c r="G67" s="121"/>
      <c r="H67" s="121"/>
      <c r="I67" s="125"/>
      <c r="J67" s="169" t="s">
        <v>65</v>
      </c>
      <c r="K67" s="163" t="s">
        <v>69</v>
      </c>
      <c r="L67" s="121"/>
      <c r="M67" s="121"/>
      <c r="N67" s="121"/>
      <c r="O67" s="125"/>
      <c r="P67" s="14" t="s">
        <v>60</v>
      </c>
      <c r="Q67" s="114"/>
    </row>
    <row r="68" spans="1:17" ht="15.75">
      <c r="A68" s="122"/>
      <c r="B68" s="123"/>
      <c r="C68" s="126"/>
      <c r="D68" s="123"/>
      <c r="E68" s="123"/>
      <c r="F68" s="123"/>
      <c r="G68" s="123"/>
      <c r="H68" s="123"/>
      <c r="I68" s="127"/>
      <c r="J68" s="126"/>
      <c r="K68" s="165"/>
      <c r="L68" s="123"/>
      <c r="M68" s="123"/>
      <c r="N68" s="123"/>
      <c r="O68" s="127"/>
      <c r="P68" s="128" t="s">
        <v>67</v>
      </c>
      <c r="Q68" s="129"/>
    </row>
    <row r="69" spans="1:17">
      <c r="A69" s="166" t="s">
        <v>70</v>
      </c>
      <c r="B69" s="167"/>
      <c r="C69" s="167"/>
      <c r="D69" s="167"/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8"/>
      <c r="P69" s="131"/>
      <c r="Q69" s="132"/>
    </row>
    <row r="70" spans="1:17" ht="15.75">
      <c r="A70" s="10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/>
      <c r="Q70" s="5"/>
    </row>
    <row r="71" spans="1:17" ht="15.75">
      <c r="A71" s="10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/>
      <c r="Q71" s="5"/>
    </row>
    <row r="72" spans="1:17" ht="15.75">
      <c r="A72" s="103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104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</row>
    <row r="74" spans="1:17">
      <c r="A74" s="104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</row>
    <row r="75" spans="1:17">
      <c r="A75" s="106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</row>
    <row r="76" spans="1:17">
      <c r="A76" s="107"/>
      <c r="B76" s="108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</row>
    <row r="77" spans="1:17">
      <c r="A77" s="107"/>
      <c r="B77" s="108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</row>
    <row r="78" spans="1:17">
      <c r="A78" s="107"/>
      <c r="B78" s="108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</row>
    <row r="79" spans="1:17">
      <c r="A79" s="109"/>
      <c r="B79" s="108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</row>
    <row r="80" spans="1:17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spans="1:17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spans="1:17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spans="1:17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8" spans="1:17" ht="15.75">
      <c r="A88" s="211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6"/>
      <c r="P88" s="212" t="s">
        <v>71</v>
      </c>
      <c r="Q88" s="146"/>
    </row>
    <row r="89" spans="1:17" ht="18.7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49"/>
      <c r="P89" s="213"/>
      <c r="Q89" s="214"/>
    </row>
    <row r="90" spans="1:17" ht="15.75">
      <c r="A90" s="3"/>
      <c r="B90" s="4"/>
      <c r="C90" s="4"/>
      <c r="D90" s="215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29"/>
      <c r="P90" s="216" t="s">
        <v>72</v>
      </c>
      <c r="Q90" s="129"/>
    </row>
    <row r="91" spans="1:17" ht="18">
      <c r="A91" s="3"/>
      <c r="B91" s="6"/>
      <c r="C91" s="6"/>
      <c r="D91" s="217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29"/>
      <c r="P91" s="218"/>
      <c r="Q91" s="130"/>
    </row>
    <row r="92" spans="1:17" ht="15.75">
      <c r="A92" s="3"/>
      <c r="B92" s="4"/>
      <c r="C92" s="4"/>
      <c r="D92" s="215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29"/>
      <c r="P92" s="219" t="s">
        <v>2</v>
      </c>
      <c r="Q92" s="137"/>
    </row>
    <row r="93" spans="1:17" ht="18">
      <c r="A93" s="3"/>
      <c r="B93" s="4"/>
      <c r="C93" s="4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0"/>
      <c r="P93" s="202"/>
      <c r="Q93" s="129"/>
    </row>
    <row r="94" spans="1:17" ht="15.75">
      <c r="A94" s="203" t="s">
        <v>3</v>
      </c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51"/>
      <c r="Q94" s="88"/>
    </row>
    <row r="95" spans="1:17" ht="15.75">
      <c r="A95" s="170" t="s">
        <v>4</v>
      </c>
      <c r="B95" s="145"/>
      <c r="C95" s="20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6"/>
    </row>
    <row r="96" spans="1:17" ht="15.75">
      <c r="A96" s="147"/>
      <c r="B96" s="148"/>
      <c r="C96" s="7"/>
      <c r="D96" s="8"/>
      <c r="E96" s="9" t="s">
        <v>5</v>
      </c>
      <c r="F96" s="9"/>
      <c r="G96" s="8"/>
      <c r="H96" s="9" t="s">
        <v>6</v>
      </c>
      <c r="I96" s="9"/>
      <c r="J96" s="4"/>
      <c r="K96" s="8"/>
      <c r="L96" s="9" t="s">
        <v>7</v>
      </c>
      <c r="M96" s="9"/>
      <c r="N96" s="52" t="s">
        <v>8</v>
      </c>
      <c r="O96" s="9" t="s">
        <v>9</v>
      </c>
      <c r="P96" s="9"/>
      <c r="Q96" s="89"/>
    </row>
    <row r="97" spans="1:17" ht="15.75">
      <c r="A97" s="134"/>
      <c r="B97" s="135"/>
      <c r="C97" s="10"/>
      <c r="D97" s="11"/>
      <c r="E97" s="11"/>
      <c r="F97" s="12"/>
      <c r="G97" s="12"/>
      <c r="H97" s="206"/>
      <c r="I97" s="135"/>
      <c r="J97" s="11"/>
      <c r="K97" s="206"/>
      <c r="L97" s="135"/>
      <c r="M97" s="11"/>
      <c r="N97" s="11"/>
      <c r="O97" s="12"/>
      <c r="P97" s="11"/>
      <c r="Q97" s="90"/>
    </row>
    <row r="98" spans="1:17" ht="20.25">
      <c r="A98" s="170" t="s">
        <v>10</v>
      </c>
      <c r="B98" s="145"/>
      <c r="C98" s="171" t="s">
        <v>73</v>
      </c>
      <c r="D98" s="145"/>
      <c r="E98" s="145"/>
      <c r="F98" s="145"/>
      <c r="G98" s="145"/>
      <c r="H98" s="145"/>
      <c r="I98" s="145"/>
      <c r="J98" s="145"/>
      <c r="K98" s="171" t="s">
        <v>11</v>
      </c>
      <c r="L98" s="145"/>
      <c r="M98" s="145"/>
      <c r="N98" s="145"/>
      <c r="O98" s="145"/>
      <c r="P98" s="207" t="s">
        <v>12</v>
      </c>
      <c r="Q98" s="146"/>
    </row>
    <row r="99" spans="1:17" ht="21">
      <c r="A99" s="147"/>
      <c r="B99" s="148"/>
      <c r="C99" s="126"/>
      <c r="D99" s="123"/>
      <c r="E99" s="123"/>
      <c r="F99" s="123"/>
      <c r="G99" s="123"/>
      <c r="H99" s="123"/>
      <c r="I99" s="123"/>
      <c r="J99" s="123"/>
      <c r="K99" s="208"/>
      <c r="L99" s="148"/>
      <c r="M99" s="148"/>
      <c r="N99" s="148"/>
      <c r="O99" s="148"/>
      <c r="P99" s="209"/>
      <c r="Q99" s="210"/>
    </row>
    <row r="100" spans="1:17">
      <c r="A100" s="133" t="s">
        <v>13</v>
      </c>
      <c r="B100" s="121"/>
      <c r="C100" s="136" t="s">
        <v>74</v>
      </c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37"/>
    </row>
    <row r="101" spans="1:17">
      <c r="A101" s="134"/>
      <c r="B101" s="135"/>
      <c r="C101" s="131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2"/>
    </row>
    <row r="102" spans="1:17" ht="15.75">
      <c r="A102" s="197" t="s">
        <v>14</v>
      </c>
      <c r="B102" s="180"/>
      <c r="C102" s="180"/>
      <c r="D102" s="180"/>
      <c r="E102" s="180"/>
      <c r="F102" s="180"/>
      <c r="G102" s="180"/>
      <c r="H102" s="180"/>
      <c r="I102" s="180"/>
      <c r="J102" s="180"/>
      <c r="K102" s="198"/>
      <c r="L102" s="181"/>
      <c r="M102" s="198" t="s">
        <v>15</v>
      </c>
      <c r="N102" s="180"/>
      <c r="O102" s="181"/>
      <c r="P102" s="198" t="s">
        <v>16</v>
      </c>
      <c r="Q102" s="199"/>
    </row>
    <row r="103" spans="1:17" ht="15.75">
      <c r="A103" s="138"/>
      <c r="B103" s="139"/>
      <c r="C103" s="139"/>
      <c r="D103" s="139"/>
      <c r="E103" s="139"/>
      <c r="F103" s="139"/>
      <c r="G103" s="139"/>
      <c r="H103" s="139"/>
      <c r="I103" s="139"/>
      <c r="J103" s="140"/>
      <c r="K103" s="53"/>
      <c r="L103" s="54"/>
      <c r="M103" s="53"/>
      <c r="N103" s="14"/>
      <c r="O103" s="55"/>
      <c r="P103" s="56"/>
      <c r="Q103" s="91"/>
    </row>
    <row r="104" spans="1:17" ht="20.25">
      <c r="A104" s="141"/>
      <c r="B104" s="142"/>
      <c r="C104" s="142"/>
      <c r="D104" s="142"/>
      <c r="E104" s="142"/>
      <c r="F104" s="142"/>
      <c r="G104" s="142"/>
      <c r="H104" s="142"/>
      <c r="I104" s="142"/>
      <c r="J104" s="143"/>
      <c r="K104" s="200" t="s">
        <v>75</v>
      </c>
      <c r="L104" s="201"/>
      <c r="M104" s="7"/>
      <c r="N104" s="4"/>
      <c r="O104" s="57" t="s">
        <v>18</v>
      </c>
      <c r="P104" s="58"/>
      <c r="Q104" s="115"/>
    </row>
    <row r="105" spans="1:17" ht="15.75">
      <c r="A105" s="141"/>
      <c r="B105" s="142"/>
      <c r="C105" s="142"/>
      <c r="D105" s="142"/>
      <c r="E105" s="142"/>
      <c r="F105" s="142"/>
      <c r="G105" s="142"/>
      <c r="H105" s="142"/>
      <c r="I105" s="142"/>
      <c r="J105" s="143"/>
      <c r="K105" s="59"/>
      <c r="L105" s="60"/>
      <c r="M105" s="7"/>
      <c r="N105" s="4"/>
      <c r="O105" s="61"/>
      <c r="P105" s="7"/>
      <c r="Q105" s="93"/>
    </row>
    <row r="106" spans="1:17" ht="15.75">
      <c r="A106" s="141"/>
      <c r="B106" s="142"/>
      <c r="C106" s="142"/>
      <c r="D106" s="142"/>
      <c r="E106" s="142"/>
      <c r="F106" s="142"/>
      <c r="G106" s="142"/>
      <c r="H106" s="142"/>
      <c r="I106" s="142"/>
      <c r="J106" s="143"/>
      <c r="K106" s="59"/>
      <c r="L106" s="60"/>
      <c r="M106" s="7"/>
      <c r="N106" s="4"/>
      <c r="O106" s="61"/>
      <c r="P106" s="62"/>
      <c r="Q106" s="93"/>
    </row>
    <row r="107" spans="1:17" ht="15.75">
      <c r="A107" s="141"/>
      <c r="B107" s="142"/>
      <c r="C107" s="142"/>
      <c r="D107" s="142"/>
      <c r="E107" s="142"/>
      <c r="F107" s="142"/>
      <c r="G107" s="142"/>
      <c r="H107" s="142"/>
      <c r="I107" s="142"/>
      <c r="J107" s="143"/>
      <c r="K107" s="59"/>
      <c r="L107" s="60"/>
      <c r="M107" s="7"/>
      <c r="N107" s="4"/>
      <c r="O107" s="61"/>
      <c r="P107" s="62"/>
      <c r="Q107" s="93"/>
    </row>
    <row r="108" spans="1:17" ht="15.75">
      <c r="A108" s="141"/>
      <c r="B108" s="142"/>
      <c r="C108" s="142"/>
      <c r="D108" s="142"/>
      <c r="E108" s="142"/>
      <c r="F108" s="142"/>
      <c r="G108" s="142"/>
      <c r="H108" s="142"/>
      <c r="I108" s="142"/>
      <c r="J108" s="143"/>
      <c r="K108" s="59"/>
      <c r="L108" s="60"/>
      <c r="M108" s="7"/>
      <c r="N108" s="4"/>
      <c r="O108" s="61"/>
      <c r="P108" s="62"/>
      <c r="Q108" s="93"/>
    </row>
    <row r="109" spans="1:17" ht="15.75">
      <c r="A109" s="141"/>
      <c r="B109" s="142"/>
      <c r="C109" s="142"/>
      <c r="D109" s="142"/>
      <c r="E109" s="142"/>
      <c r="F109" s="142"/>
      <c r="G109" s="142"/>
      <c r="H109" s="142"/>
      <c r="I109" s="142"/>
      <c r="J109" s="143"/>
      <c r="K109" s="7"/>
      <c r="L109" s="61"/>
      <c r="M109" s="7"/>
      <c r="N109" s="4"/>
      <c r="O109" s="61"/>
      <c r="P109" s="7"/>
      <c r="Q109" s="93"/>
    </row>
    <row r="110" spans="1:17" ht="15.75">
      <c r="A110" s="17"/>
      <c r="B110" s="75"/>
      <c r="C110" s="192"/>
      <c r="D110" s="148"/>
      <c r="E110" s="110"/>
      <c r="F110" s="110"/>
      <c r="G110" s="193"/>
      <c r="H110" s="148"/>
      <c r="I110" s="148"/>
      <c r="J110" s="112"/>
      <c r="K110" s="9"/>
      <c r="L110" s="60"/>
      <c r="M110" s="59"/>
      <c r="N110" s="9"/>
      <c r="O110" s="60"/>
      <c r="P110" s="65"/>
      <c r="Q110" s="93"/>
    </row>
    <row r="111" spans="1:17" ht="15.75">
      <c r="A111" s="17"/>
      <c r="B111" s="75"/>
      <c r="C111" s="192"/>
      <c r="D111" s="148"/>
      <c r="E111" s="110"/>
      <c r="F111" s="110"/>
      <c r="G111" s="193"/>
      <c r="H111" s="148"/>
      <c r="I111" s="148"/>
      <c r="J111" s="112"/>
      <c r="K111" s="9"/>
      <c r="L111" s="60"/>
      <c r="M111" s="59"/>
      <c r="N111" s="9"/>
      <c r="O111" s="60"/>
      <c r="P111" s="65"/>
      <c r="Q111" s="93"/>
    </row>
    <row r="112" spans="1:17" ht="15.75">
      <c r="A112" s="17"/>
      <c r="B112" s="75"/>
      <c r="C112" s="192"/>
      <c r="D112" s="148"/>
      <c r="E112" s="110"/>
      <c r="F112" s="110"/>
      <c r="G112" s="193"/>
      <c r="H112" s="148"/>
      <c r="I112" s="148"/>
      <c r="J112" s="112"/>
      <c r="K112" s="9"/>
      <c r="L112" s="60"/>
      <c r="M112" s="59"/>
      <c r="N112" s="9"/>
      <c r="O112" s="60"/>
      <c r="P112" s="65"/>
      <c r="Q112" s="93"/>
    </row>
    <row r="113" spans="1:17" ht="15.75">
      <c r="A113" s="17"/>
      <c r="B113" s="75"/>
      <c r="C113" s="192"/>
      <c r="D113" s="148"/>
      <c r="E113" s="110"/>
      <c r="F113" s="110"/>
      <c r="G113" s="193"/>
      <c r="H113" s="148"/>
      <c r="I113" s="148"/>
      <c r="J113" s="112"/>
      <c r="K113" s="9"/>
      <c r="L113" s="60"/>
      <c r="M113" s="59"/>
      <c r="N113" s="9"/>
      <c r="O113" s="60"/>
      <c r="P113" s="65"/>
      <c r="Q113" s="93"/>
    </row>
    <row r="114" spans="1:17" ht="15.75">
      <c r="A114" s="17"/>
      <c r="B114" s="75"/>
      <c r="C114" s="192"/>
      <c r="D114" s="148"/>
      <c r="E114" s="111"/>
      <c r="F114" s="110"/>
      <c r="G114" s="193"/>
      <c r="H114" s="148"/>
      <c r="I114" s="148"/>
      <c r="J114" s="112"/>
      <c r="K114" s="9"/>
      <c r="L114" s="60"/>
      <c r="M114" s="59"/>
      <c r="N114" s="9"/>
      <c r="O114" s="60"/>
      <c r="P114" s="65"/>
      <c r="Q114" s="93"/>
    </row>
    <row r="115" spans="1:17" ht="18.75">
      <c r="A115" s="17"/>
      <c r="B115" s="9"/>
      <c r="C115" s="188"/>
      <c r="D115" s="194"/>
      <c r="E115" s="194"/>
      <c r="F115" s="194"/>
      <c r="G115" s="194"/>
      <c r="H115" s="194"/>
      <c r="I115" s="194"/>
      <c r="J115" s="113"/>
      <c r="K115" s="67"/>
      <c r="L115" s="68"/>
      <c r="M115" s="69"/>
      <c r="N115" s="67"/>
      <c r="O115" s="68"/>
      <c r="P115" s="70"/>
      <c r="Q115" s="94"/>
    </row>
    <row r="116" spans="1:17" ht="15.75">
      <c r="A116" s="17"/>
      <c r="B116" s="9"/>
      <c r="C116" s="9"/>
      <c r="D116" s="9"/>
      <c r="E116" s="9"/>
      <c r="F116" s="32"/>
      <c r="G116" s="33"/>
      <c r="H116" s="33"/>
      <c r="I116" s="33"/>
      <c r="J116" s="33"/>
      <c r="K116" s="69"/>
      <c r="L116" s="68"/>
      <c r="M116" s="69"/>
      <c r="N116" s="67"/>
      <c r="O116" s="68"/>
      <c r="P116" s="70"/>
      <c r="Q116" s="95"/>
    </row>
    <row r="117" spans="1:17" ht="18">
      <c r="A117" s="195" t="s">
        <v>30</v>
      </c>
      <c r="B117" s="135"/>
      <c r="C117" s="135"/>
      <c r="D117" s="135"/>
      <c r="E117" s="135"/>
      <c r="F117" s="135"/>
      <c r="G117" s="135"/>
      <c r="H117" s="135"/>
      <c r="I117" s="135"/>
      <c r="J117" s="135"/>
      <c r="K117" s="71"/>
      <c r="L117" s="72"/>
      <c r="M117" s="71"/>
      <c r="N117" s="12"/>
      <c r="O117" s="73" t="s">
        <v>18</v>
      </c>
      <c r="P117" s="74"/>
      <c r="Q117" s="116">
        <f>Q104</f>
        <v>0</v>
      </c>
    </row>
    <row r="118" spans="1:17" ht="15.75">
      <c r="A118" s="34" t="s">
        <v>31</v>
      </c>
      <c r="B118" s="196" t="s">
        <v>32</v>
      </c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29"/>
    </row>
    <row r="119" spans="1:17" ht="15.75">
      <c r="A119" s="35"/>
      <c r="B119" s="5"/>
      <c r="C119" s="4" t="s">
        <v>33</v>
      </c>
      <c r="D119" s="4"/>
      <c r="E119" s="4"/>
      <c r="F119" s="4"/>
      <c r="G119" s="4"/>
      <c r="H119" s="4"/>
      <c r="I119" s="4"/>
      <c r="J119" s="4"/>
      <c r="K119" s="5"/>
      <c r="L119" s="75"/>
      <c r="M119" s="75"/>
      <c r="N119" s="9"/>
      <c r="O119" s="75"/>
      <c r="P119" s="76"/>
      <c r="Q119" s="49"/>
    </row>
    <row r="120" spans="1:17" ht="15.75">
      <c r="A120" s="35"/>
      <c r="B120" s="5"/>
      <c r="C120" s="4"/>
      <c r="D120" s="4"/>
      <c r="E120" s="4"/>
      <c r="F120" s="4"/>
      <c r="G120" s="4"/>
      <c r="H120" s="4"/>
      <c r="I120" s="4"/>
      <c r="J120" s="4"/>
      <c r="K120" s="5"/>
      <c r="L120" s="75"/>
      <c r="M120" s="75"/>
      <c r="N120" s="9"/>
      <c r="O120" s="75"/>
      <c r="P120" s="76"/>
      <c r="Q120" s="49"/>
    </row>
    <row r="121" spans="1:17" ht="15.75">
      <c r="A121" s="35"/>
      <c r="B121" s="5"/>
      <c r="C121" s="4"/>
      <c r="D121" s="4"/>
      <c r="E121" s="4"/>
      <c r="F121" s="4"/>
      <c r="G121" s="4"/>
      <c r="H121" s="4"/>
      <c r="I121" s="4"/>
      <c r="J121" s="4"/>
      <c r="K121" s="5"/>
      <c r="L121" s="75"/>
      <c r="M121" s="75"/>
      <c r="N121" s="9"/>
      <c r="O121" s="75"/>
      <c r="P121" s="76"/>
      <c r="Q121" s="49"/>
    </row>
    <row r="122" spans="1:17" ht="15.75">
      <c r="A122" s="35"/>
      <c r="B122" s="5"/>
      <c r="C122" s="4"/>
      <c r="D122" s="4"/>
      <c r="E122" s="4"/>
      <c r="F122" s="4"/>
      <c r="G122" s="4"/>
      <c r="H122" s="4"/>
      <c r="I122" s="4"/>
      <c r="J122" s="4"/>
      <c r="K122" s="5"/>
      <c r="L122" s="75"/>
      <c r="M122" s="75"/>
      <c r="N122" s="9"/>
      <c r="O122" s="75"/>
      <c r="P122" s="76"/>
      <c r="Q122" s="49"/>
    </row>
    <row r="123" spans="1:17" ht="20.25">
      <c r="A123" s="182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29"/>
    </row>
    <row r="124" spans="1:17" ht="20.25">
      <c r="A124" s="183" t="s">
        <v>34</v>
      </c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29"/>
    </row>
    <row r="125" spans="1:17" ht="15.75">
      <c r="A125" s="36" t="s">
        <v>35</v>
      </c>
      <c r="B125" s="37" t="s">
        <v>36</v>
      </c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97"/>
    </row>
    <row r="126" spans="1:17" ht="15.75">
      <c r="A126" s="184" t="s">
        <v>37</v>
      </c>
      <c r="B126" s="185"/>
      <c r="C126" s="185"/>
      <c r="D126" s="185"/>
      <c r="E126" s="185"/>
      <c r="F126" s="185"/>
      <c r="G126" s="185"/>
      <c r="H126" s="185"/>
      <c r="I126" s="185"/>
      <c r="J126" s="185"/>
      <c r="K126" s="186" t="s">
        <v>38</v>
      </c>
      <c r="L126" s="185"/>
      <c r="M126" s="187"/>
      <c r="N126" s="77"/>
      <c r="O126" s="78"/>
      <c r="P126" s="79" t="s">
        <v>39</v>
      </c>
      <c r="Q126" s="98" t="s">
        <v>40</v>
      </c>
    </row>
    <row r="127" spans="1:17" ht="18">
      <c r="A127" s="39"/>
      <c r="B127" s="188" t="s">
        <v>76</v>
      </c>
      <c r="C127" s="188"/>
      <c r="D127" s="188"/>
      <c r="E127" s="188"/>
      <c r="F127" s="188"/>
      <c r="G127" s="188"/>
      <c r="H127" s="188"/>
      <c r="I127" s="188"/>
      <c r="J127" s="188"/>
      <c r="K127" s="189" t="s">
        <v>77</v>
      </c>
      <c r="L127" s="190"/>
      <c r="M127" s="191"/>
      <c r="N127" s="190"/>
      <c r="O127" s="190"/>
      <c r="P127" s="191"/>
      <c r="Q127" s="99"/>
    </row>
    <row r="128" spans="1:17" ht="18">
      <c r="A128" s="39"/>
      <c r="B128" s="188" t="s">
        <v>76</v>
      </c>
      <c r="C128" s="188"/>
      <c r="D128" s="188"/>
      <c r="E128" s="188"/>
      <c r="F128" s="188"/>
      <c r="G128" s="188"/>
      <c r="H128" s="188"/>
      <c r="I128" s="188"/>
      <c r="J128" s="188"/>
      <c r="K128" s="189" t="s">
        <v>77</v>
      </c>
      <c r="L128" s="190"/>
      <c r="M128" s="191"/>
      <c r="N128" s="190"/>
      <c r="O128" s="190"/>
      <c r="P128" s="191"/>
      <c r="Q128" s="99"/>
    </row>
    <row r="129" spans="1:17" ht="18">
      <c r="A129" s="41"/>
      <c r="B129" s="172" t="s">
        <v>43</v>
      </c>
      <c r="C129" s="135"/>
      <c r="D129" s="135"/>
      <c r="E129" s="135"/>
      <c r="F129" s="135"/>
      <c r="G129" s="135"/>
      <c r="H129" s="135"/>
      <c r="I129" s="135"/>
      <c r="J129" s="135"/>
      <c r="K129" s="173" t="s">
        <v>42</v>
      </c>
      <c r="L129" s="135"/>
      <c r="M129" s="159"/>
      <c r="N129" s="84"/>
      <c r="O129" s="84"/>
      <c r="P129" s="85"/>
      <c r="Q129" s="100"/>
    </row>
    <row r="130" spans="1:17" ht="15.75">
      <c r="A130" s="42" t="s">
        <v>44</v>
      </c>
      <c r="B130" s="174" t="s">
        <v>45</v>
      </c>
      <c r="C130" s="135"/>
      <c r="D130" s="135"/>
      <c r="E130" s="135"/>
      <c r="F130" s="135"/>
      <c r="G130" s="135"/>
      <c r="H130" s="135"/>
      <c r="I130" s="135"/>
      <c r="J130" s="135"/>
      <c r="K130" s="86" t="s">
        <v>46</v>
      </c>
      <c r="L130" s="175" t="s">
        <v>47</v>
      </c>
      <c r="M130" s="135"/>
      <c r="N130" s="135"/>
      <c r="O130" s="135"/>
      <c r="P130" s="135"/>
      <c r="Q130" s="132"/>
    </row>
    <row r="131" spans="1:17" ht="18">
      <c r="A131" s="43"/>
      <c r="B131" s="44"/>
      <c r="C131" s="45" t="s">
        <v>48</v>
      </c>
      <c r="D131" s="45"/>
      <c r="E131" s="45"/>
      <c r="F131" s="45"/>
      <c r="G131" s="45"/>
      <c r="H131" s="45"/>
      <c r="I131" s="45"/>
      <c r="J131" s="45"/>
      <c r="K131" s="144"/>
      <c r="L131" s="145"/>
      <c r="M131" s="145"/>
      <c r="N131" s="145"/>
      <c r="O131" s="145"/>
      <c r="P131" s="145"/>
      <c r="Q131" s="146"/>
    </row>
    <row r="132" spans="1:17" ht="18">
      <c r="A132" s="17"/>
      <c r="B132" s="8"/>
      <c r="C132" s="46" t="s">
        <v>50</v>
      </c>
      <c r="D132" s="46"/>
      <c r="E132" s="46"/>
      <c r="F132" s="46"/>
      <c r="G132" s="46"/>
      <c r="H132" s="46"/>
      <c r="I132" s="46"/>
      <c r="J132" s="46"/>
      <c r="K132" s="147"/>
      <c r="L132" s="148"/>
      <c r="M132" s="148"/>
      <c r="N132" s="148"/>
      <c r="O132" s="148"/>
      <c r="P132" s="148"/>
      <c r="Q132" s="129"/>
    </row>
    <row r="133" spans="1:17" ht="18">
      <c r="A133" s="35"/>
      <c r="B133" s="8"/>
      <c r="C133" s="46" t="s">
        <v>51</v>
      </c>
      <c r="D133" s="46"/>
      <c r="E133" s="46"/>
      <c r="F133" s="46"/>
      <c r="G133" s="46"/>
      <c r="H133" s="46"/>
      <c r="I133" s="46"/>
      <c r="J133" s="46"/>
      <c r="K133" s="147"/>
      <c r="L133" s="148"/>
      <c r="M133" s="148"/>
      <c r="N133" s="148"/>
      <c r="O133" s="148"/>
      <c r="P133" s="148"/>
      <c r="Q133" s="129"/>
    </row>
    <row r="134" spans="1:17" ht="18">
      <c r="A134" s="47"/>
      <c r="B134" s="12"/>
      <c r="C134" s="48" t="s">
        <v>52</v>
      </c>
      <c r="D134" s="48"/>
      <c r="E134" s="48"/>
      <c r="F134" s="48"/>
      <c r="G134" s="48"/>
      <c r="H134" s="48"/>
      <c r="I134" s="48"/>
      <c r="J134" s="48"/>
      <c r="K134" s="134"/>
      <c r="L134" s="135"/>
      <c r="M134" s="135"/>
      <c r="N134" s="135"/>
      <c r="O134" s="135"/>
      <c r="P134" s="135"/>
      <c r="Q134" s="132"/>
    </row>
    <row r="135" spans="1:17">
      <c r="A135" s="149" t="s">
        <v>53</v>
      </c>
      <c r="B135" s="145"/>
      <c r="C135" s="151"/>
      <c r="D135" s="145"/>
      <c r="E135" s="145"/>
      <c r="F135" s="145"/>
      <c r="G135" s="145"/>
      <c r="H135" s="145"/>
      <c r="I135" s="145"/>
      <c r="J135" s="145"/>
      <c r="K135" s="149" t="s">
        <v>53</v>
      </c>
      <c r="L135" s="150"/>
      <c r="M135" s="152"/>
      <c r="N135" s="145"/>
      <c r="O135" s="145"/>
      <c r="P135" s="145"/>
      <c r="Q135" s="146"/>
    </row>
    <row r="136" spans="1:17">
      <c r="A136" s="122"/>
      <c r="B136" s="123"/>
      <c r="C136" s="126"/>
      <c r="D136" s="123"/>
      <c r="E136" s="123"/>
      <c r="F136" s="123"/>
      <c r="G136" s="123"/>
      <c r="H136" s="123"/>
      <c r="I136" s="123"/>
      <c r="J136" s="123"/>
      <c r="K136" s="122"/>
      <c r="L136" s="127"/>
      <c r="M136" s="123"/>
      <c r="N136" s="123"/>
      <c r="O136" s="123"/>
      <c r="P136" s="123"/>
      <c r="Q136" s="130"/>
    </row>
    <row r="137" spans="1:17">
      <c r="A137" s="153" t="s">
        <v>54</v>
      </c>
      <c r="B137" s="121"/>
      <c r="C137" s="155"/>
      <c r="D137" s="121"/>
      <c r="E137" s="121"/>
      <c r="F137" s="121"/>
      <c r="G137" s="121"/>
      <c r="H137" s="121"/>
      <c r="I137" s="121"/>
      <c r="J137" s="121"/>
      <c r="K137" s="154" t="s">
        <v>54</v>
      </c>
      <c r="L137" s="125"/>
      <c r="M137" s="156"/>
      <c r="N137" s="121"/>
      <c r="O137" s="121"/>
      <c r="P137" s="121"/>
      <c r="Q137" s="137"/>
    </row>
    <row r="138" spans="1:17">
      <c r="A138" s="122"/>
      <c r="B138" s="123"/>
      <c r="C138" s="126"/>
      <c r="D138" s="123"/>
      <c r="E138" s="123"/>
      <c r="F138" s="123"/>
      <c r="G138" s="123"/>
      <c r="H138" s="123"/>
      <c r="I138" s="123"/>
      <c r="J138" s="123"/>
      <c r="K138" s="122"/>
      <c r="L138" s="127"/>
      <c r="M138" s="123"/>
      <c r="N138" s="123"/>
      <c r="O138" s="123"/>
      <c r="P138" s="123"/>
      <c r="Q138" s="130"/>
    </row>
    <row r="139" spans="1:17">
      <c r="A139" s="153" t="s">
        <v>55</v>
      </c>
      <c r="B139" s="121"/>
      <c r="C139" s="176" t="s">
        <v>56</v>
      </c>
      <c r="D139" s="121"/>
      <c r="E139" s="121"/>
      <c r="F139" s="121"/>
      <c r="G139" s="121"/>
      <c r="H139" s="121"/>
      <c r="I139" s="121"/>
      <c r="J139" s="137"/>
      <c r="K139" s="154" t="s">
        <v>55</v>
      </c>
      <c r="L139" s="125"/>
      <c r="M139" s="176" t="s">
        <v>57</v>
      </c>
      <c r="N139" s="121"/>
      <c r="O139" s="121"/>
      <c r="P139" s="121"/>
      <c r="Q139" s="137"/>
    </row>
    <row r="140" spans="1:17">
      <c r="A140" s="147"/>
      <c r="B140" s="148"/>
      <c r="C140" s="177" t="s">
        <v>58</v>
      </c>
      <c r="D140" s="123"/>
      <c r="E140" s="123"/>
      <c r="F140" s="123"/>
      <c r="G140" s="123"/>
      <c r="H140" s="123"/>
      <c r="I140" s="123"/>
      <c r="J140" s="123"/>
      <c r="K140" s="147"/>
      <c r="L140" s="157"/>
      <c r="M140" s="178" t="s">
        <v>59</v>
      </c>
      <c r="N140" s="123"/>
      <c r="O140" s="123"/>
      <c r="P140" s="123"/>
      <c r="Q140" s="130"/>
    </row>
    <row r="141" spans="1:17">
      <c r="A141" s="158" t="s">
        <v>60</v>
      </c>
      <c r="B141" s="121"/>
      <c r="C141" s="160"/>
      <c r="D141" s="121"/>
      <c r="E141" s="121"/>
      <c r="F141" s="121"/>
      <c r="G141" s="121"/>
      <c r="H141" s="121"/>
      <c r="I141" s="121"/>
      <c r="J141" s="121"/>
      <c r="K141" s="158" t="s">
        <v>60</v>
      </c>
      <c r="L141" s="125"/>
      <c r="M141" s="161"/>
      <c r="N141" s="121"/>
      <c r="O141" s="121"/>
      <c r="P141" s="121"/>
      <c r="Q141" s="137"/>
    </row>
    <row r="142" spans="1:17">
      <c r="A142" s="134"/>
      <c r="B142" s="135"/>
      <c r="C142" s="131"/>
      <c r="D142" s="135"/>
      <c r="E142" s="135"/>
      <c r="F142" s="135"/>
      <c r="G142" s="135"/>
      <c r="H142" s="135"/>
      <c r="I142" s="135"/>
      <c r="J142" s="135"/>
      <c r="K142" s="134"/>
      <c r="L142" s="159"/>
      <c r="M142" s="135"/>
      <c r="N142" s="135"/>
      <c r="O142" s="135"/>
      <c r="P142" s="135"/>
      <c r="Q142" s="132"/>
    </row>
    <row r="143" spans="1:17" ht="15.75">
      <c r="A143" s="36" t="s">
        <v>61</v>
      </c>
      <c r="B143" s="179" t="s">
        <v>62</v>
      </c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1"/>
      <c r="P143" s="87" t="s">
        <v>63</v>
      </c>
      <c r="Q143" s="101"/>
    </row>
    <row r="144" spans="1:17">
      <c r="A144" s="120" t="s">
        <v>64</v>
      </c>
      <c r="B144" s="121"/>
      <c r="C144" s="124" t="s">
        <v>78</v>
      </c>
      <c r="D144" s="121"/>
      <c r="E144" s="121"/>
      <c r="F144" s="121"/>
      <c r="G144" s="121"/>
      <c r="H144" s="121"/>
      <c r="I144" s="125"/>
      <c r="J144" s="169" t="s">
        <v>65</v>
      </c>
      <c r="K144" s="163" t="s">
        <v>66</v>
      </c>
      <c r="L144" s="121"/>
      <c r="M144" s="121"/>
      <c r="N144" s="121"/>
      <c r="O144" s="125"/>
      <c r="P144" s="128" t="s">
        <v>67</v>
      </c>
      <c r="Q144" s="129"/>
    </row>
    <row r="145" spans="1:17" ht="18">
      <c r="A145" s="122"/>
      <c r="B145" s="123"/>
      <c r="C145" s="126"/>
      <c r="D145" s="123"/>
      <c r="E145" s="123"/>
      <c r="F145" s="123"/>
      <c r="G145" s="123"/>
      <c r="H145" s="123"/>
      <c r="I145" s="127"/>
      <c r="J145" s="126"/>
      <c r="K145" s="164"/>
      <c r="L145" s="123"/>
      <c r="M145" s="123"/>
      <c r="N145" s="123"/>
      <c r="O145" s="127"/>
      <c r="P145" s="126"/>
      <c r="Q145" s="130"/>
    </row>
    <row r="146" spans="1:17" ht="15.75">
      <c r="A146" s="120" t="s">
        <v>68</v>
      </c>
      <c r="B146" s="121"/>
      <c r="C146" s="124"/>
      <c r="D146" s="121"/>
      <c r="E146" s="121"/>
      <c r="F146" s="121"/>
      <c r="G146" s="121"/>
      <c r="H146" s="121"/>
      <c r="I146" s="125"/>
      <c r="J146" s="169" t="s">
        <v>65</v>
      </c>
      <c r="K146" s="163" t="s">
        <v>69</v>
      </c>
      <c r="L146" s="121"/>
      <c r="M146" s="121"/>
      <c r="N146" s="121"/>
      <c r="O146" s="125"/>
      <c r="P146" s="14" t="s">
        <v>60</v>
      </c>
      <c r="Q146" s="114"/>
    </row>
    <row r="147" spans="1:17" ht="15.75">
      <c r="A147" s="122"/>
      <c r="B147" s="123"/>
      <c r="C147" s="126"/>
      <c r="D147" s="123"/>
      <c r="E147" s="123"/>
      <c r="F147" s="123"/>
      <c r="G147" s="123"/>
      <c r="H147" s="123"/>
      <c r="I147" s="127"/>
      <c r="J147" s="126"/>
      <c r="K147" s="165"/>
      <c r="L147" s="123"/>
      <c r="M147" s="123"/>
      <c r="N147" s="123"/>
      <c r="O147" s="127"/>
      <c r="P147" s="128" t="s">
        <v>67</v>
      </c>
      <c r="Q147" s="129"/>
    </row>
    <row r="148" spans="1:17">
      <c r="A148" s="166" t="s">
        <v>70</v>
      </c>
      <c r="B148" s="167"/>
      <c r="C148" s="167"/>
      <c r="D148" s="167"/>
      <c r="E148" s="167"/>
      <c r="F148" s="167"/>
      <c r="G148" s="167"/>
      <c r="H148" s="167"/>
      <c r="I148" s="167"/>
      <c r="J148" s="167"/>
      <c r="K148" s="167"/>
      <c r="L148" s="167"/>
      <c r="M148" s="167"/>
      <c r="N148" s="167"/>
      <c r="O148" s="168"/>
      <c r="P148" s="131"/>
      <c r="Q148" s="132"/>
    </row>
    <row r="149" spans="1:17" ht="15.75">
      <c r="A149" s="10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5"/>
      <c r="Q149" s="5"/>
    </row>
    <row r="150" spans="1:17" ht="15.75">
      <c r="A150" s="10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5"/>
      <c r="Q150" s="5"/>
    </row>
    <row r="151" spans="1:17" ht="15.75">
      <c r="A151" s="10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5"/>
      <c r="Q151" s="5"/>
    </row>
    <row r="152" spans="1:17" ht="15.75">
      <c r="A152" s="10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5"/>
      <c r="Q152" s="5"/>
    </row>
    <row r="153" spans="1:17" ht="15.75">
      <c r="A153" s="103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104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</row>
    <row r="155" spans="1:17">
      <c r="A155" s="104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</row>
    <row r="156" spans="1:17">
      <c r="A156" s="106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</row>
    <row r="157" spans="1:17">
      <c r="A157" s="107"/>
      <c r="B157" s="108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</row>
    <row r="158" spans="1:17">
      <c r="A158" s="107"/>
      <c r="B158" s="108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</row>
    <row r="159" spans="1:17">
      <c r="A159" s="107"/>
      <c r="B159" s="108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</row>
    <row r="160" spans="1:17">
      <c r="A160" s="109"/>
      <c r="B160" s="108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</row>
    <row r="161" spans="1:17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5" spans="1:17" ht="15.75">
      <c r="A165" s="211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6"/>
      <c r="P165" s="212" t="s">
        <v>71</v>
      </c>
      <c r="Q165" s="146"/>
    </row>
    <row r="166" spans="1:17" ht="18.7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49"/>
      <c r="P166" s="213"/>
      <c r="Q166" s="214"/>
    </row>
    <row r="167" spans="1:17" ht="15.75">
      <c r="A167" s="3"/>
      <c r="B167" s="4"/>
      <c r="C167" s="4"/>
      <c r="D167" s="215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29"/>
      <c r="P167" s="216" t="s">
        <v>72</v>
      </c>
      <c r="Q167" s="129"/>
    </row>
    <row r="168" spans="1:17" ht="18">
      <c r="A168" s="3"/>
      <c r="B168" s="6"/>
      <c r="C168" s="6"/>
      <c r="D168" s="217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29"/>
      <c r="P168" s="218"/>
      <c r="Q168" s="130"/>
    </row>
    <row r="169" spans="1:17" ht="15.75">
      <c r="A169" s="3"/>
      <c r="B169" s="4"/>
      <c r="C169" s="4"/>
      <c r="D169" s="215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29"/>
      <c r="P169" s="219" t="s">
        <v>2</v>
      </c>
      <c r="Q169" s="137"/>
    </row>
    <row r="170" spans="1:17" ht="18">
      <c r="A170" s="3"/>
      <c r="B170" s="4"/>
      <c r="C170" s="4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0"/>
      <c r="P170" s="202"/>
      <c r="Q170" s="129"/>
    </row>
    <row r="171" spans="1:17" ht="15.75">
      <c r="A171" s="203" t="s">
        <v>3</v>
      </c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51"/>
      <c r="Q171" s="88"/>
    </row>
    <row r="172" spans="1:17" ht="15.75">
      <c r="A172" s="170" t="s">
        <v>4</v>
      </c>
      <c r="B172" s="145"/>
      <c r="C172" s="20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6"/>
    </row>
    <row r="173" spans="1:17" ht="15.75">
      <c r="A173" s="147"/>
      <c r="B173" s="148"/>
      <c r="C173" s="7"/>
      <c r="D173" s="8"/>
      <c r="E173" s="9" t="s">
        <v>5</v>
      </c>
      <c r="F173" s="9"/>
      <c r="G173" s="8"/>
      <c r="H173" s="9" t="s">
        <v>6</v>
      </c>
      <c r="I173" s="9"/>
      <c r="J173" s="4"/>
      <c r="K173" s="8"/>
      <c r="L173" s="9" t="s">
        <v>7</v>
      </c>
      <c r="M173" s="9"/>
      <c r="N173" s="52" t="s">
        <v>8</v>
      </c>
      <c r="O173" s="9" t="s">
        <v>9</v>
      </c>
      <c r="P173" s="9"/>
      <c r="Q173" s="89"/>
    </row>
    <row r="174" spans="1:17" ht="15.75">
      <c r="A174" s="134"/>
      <c r="B174" s="135"/>
      <c r="C174" s="10"/>
      <c r="D174" s="11"/>
      <c r="E174" s="11"/>
      <c r="F174" s="12"/>
      <c r="G174" s="12"/>
      <c r="H174" s="206"/>
      <c r="I174" s="135"/>
      <c r="J174" s="11"/>
      <c r="K174" s="206"/>
      <c r="L174" s="135"/>
      <c r="M174" s="11"/>
      <c r="N174" s="11"/>
      <c r="O174" s="12"/>
      <c r="P174" s="11"/>
      <c r="Q174" s="90"/>
    </row>
    <row r="175" spans="1:17" ht="20.25">
      <c r="A175" s="170" t="s">
        <v>10</v>
      </c>
      <c r="B175" s="145"/>
      <c r="C175" s="171" t="s">
        <v>73</v>
      </c>
      <c r="D175" s="145"/>
      <c r="E175" s="145"/>
      <c r="F175" s="145"/>
      <c r="G175" s="145"/>
      <c r="H175" s="145"/>
      <c r="I175" s="145"/>
      <c r="J175" s="145"/>
      <c r="K175" s="171" t="s">
        <v>11</v>
      </c>
      <c r="L175" s="145"/>
      <c r="M175" s="145"/>
      <c r="N175" s="145"/>
      <c r="O175" s="145"/>
      <c r="P175" s="207" t="s">
        <v>12</v>
      </c>
      <c r="Q175" s="146"/>
    </row>
    <row r="176" spans="1:17" ht="21">
      <c r="A176" s="147"/>
      <c r="B176" s="148"/>
      <c r="C176" s="126"/>
      <c r="D176" s="123"/>
      <c r="E176" s="123"/>
      <c r="F176" s="123"/>
      <c r="G176" s="123"/>
      <c r="H176" s="123"/>
      <c r="I176" s="123"/>
      <c r="J176" s="123"/>
      <c r="K176" s="208"/>
      <c r="L176" s="148"/>
      <c r="M176" s="148"/>
      <c r="N176" s="148"/>
      <c r="O176" s="148"/>
      <c r="P176" s="209"/>
      <c r="Q176" s="210"/>
    </row>
    <row r="177" spans="1:17">
      <c r="A177" s="133" t="s">
        <v>13</v>
      </c>
      <c r="B177" s="121"/>
      <c r="C177" s="136" t="s">
        <v>74</v>
      </c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37"/>
    </row>
    <row r="178" spans="1:17">
      <c r="A178" s="134"/>
      <c r="B178" s="135"/>
      <c r="C178" s="131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2"/>
    </row>
    <row r="179" spans="1:17" ht="15.75">
      <c r="A179" s="197" t="s">
        <v>14</v>
      </c>
      <c r="B179" s="180"/>
      <c r="C179" s="180"/>
      <c r="D179" s="180"/>
      <c r="E179" s="180"/>
      <c r="F179" s="180"/>
      <c r="G179" s="180"/>
      <c r="H179" s="180"/>
      <c r="I179" s="180"/>
      <c r="J179" s="180"/>
      <c r="K179" s="198"/>
      <c r="L179" s="181"/>
      <c r="M179" s="198" t="s">
        <v>15</v>
      </c>
      <c r="N179" s="180"/>
      <c r="O179" s="181"/>
      <c r="P179" s="198" t="s">
        <v>16</v>
      </c>
      <c r="Q179" s="199"/>
    </row>
    <row r="180" spans="1:17" ht="15.75">
      <c r="A180" s="138"/>
      <c r="B180" s="139"/>
      <c r="C180" s="139"/>
      <c r="D180" s="139"/>
      <c r="E180" s="139"/>
      <c r="F180" s="139"/>
      <c r="G180" s="139"/>
      <c r="H180" s="139"/>
      <c r="I180" s="139"/>
      <c r="J180" s="140"/>
      <c r="K180" s="53"/>
      <c r="L180" s="54"/>
      <c r="M180" s="53"/>
      <c r="N180" s="14"/>
      <c r="O180" s="55"/>
      <c r="P180" s="56"/>
      <c r="Q180" s="91"/>
    </row>
    <row r="181" spans="1:17" ht="20.25">
      <c r="A181" s="141"/>
      <c r="B181" s="142"/>
      <c r="C181" s="142"/>
      <c r="D181" s="142"/>
      <c r="E181" s="142"/>
      <c r="F181" s="142"/>
      <c r="G181" s="142"/>
      <c r="H181" s="142"/>
      <c r="I181" s="142"/>
      <c r="J181" s="143"/>
      <c r="K181" s="200" t="s">
        <v>75</v>
      </c>
      <c r="L181" s="201"/>
      <c r="M181" s="7"/>
      <c r="N181" s="4"/>
      <c r="O181" s="57" t="s">
        <v>18</v>
      </c>
      <c r="P181" s="58"/>
      <c r="Q181" s="115"/>
    </row>
    <row r="182" spans="1:17" ht="15.75">
      <c r="A182" s="141"/>
      <c r="B182" s="142"/>
      <c r="C182" s="142"/>
      <c r="D182" s="142"/>
      <c r="E182" s="142"/>
      <c r="F182" s="142"/>
      <c r="G182" s="142"/>
      <c r="H182" s="142"/>
      <c r="I182" s="142"/>
      <c r="J182" s="143"/>
      <c r="K182" s="59"/>
      <c r="L182" s="60"/>
      <c r="M182" s="7"/>
      <c r="N182" s="4"/>
      <c r="O182" s="61"/>
      <c r="P182" s="7"/>
      <c r="Q182" s="93"/>
    </row>
    <row r="183" spans="1:17" ht="15.75">
      <c r="A183" s="141"/>
      <c r="B183" s="142"/>
      <c r="C183" s="142"/>
      <c r="D183" s="142"/>
      <c r="E183" s="142"/>
      <c r="F183" s="142"/>
      <c r="G183" s="142"/>
      <c r="H183" s="142"/>
      <c r="I183" s="142"/>
      <c r="J183" s="143"/>
      <c r="K183" s="59"/>
      <c r="L183" s="60"/>
      <c r="M183" s="7"/>
      <c r="N183" s="4"/>
      <c r="O183" s="61"/>
      <c r="P183" s="62"/>
      <c r="Q183" s="93"/>
    </row>
    <row r="184" spans="1:17" ht="15.75">
      <c r="A184" s="141"/>
      <c r="B184" s="142"/>
      <c r="C184" s="142"/>
      <c r="D184" s="142"/>
      <c r="E184" s="142"/>
      <c r="F184" s="142"/>
      <c r="G184" s="142"/>
      <c r="H184" s="142"/>
      <c r="I184" s="142"/>
      <c r="J184" s="143"/>
      <c r="K184" s="59"/>
      <c r="L184" s="60"/>
      <c r="M184" s="7"/>
      <c r="N184" s="4"/>
      <c r="O184" s="61"/>
      <c r="P184" s="62"/>
      <c r="Q184" s="93"/>
    </row>
    <row r="185" spans="1:17" ht="15.75">
      <c r="A185" s="141"/>
      <c r="B185" s="142"/>
      <c r="C185" s="142"/>
      <c r="D185" s="142"/>
      <c r="E185" s="142"/>
      <c r="F185" s="142"/>
      <c r="G185" s="142"/>
      <c r="H185" s="142"/>
      <c r="I185" s="142"/>
      <c r="J185" s="143"/>
      <c r="K185" s="59"/>
      <c r="L185" s="60"/>
      <c r="M185" s="7"/>
      <c r="N185" s="4"/>
      <c r="O185" s="61"/>
      <c r="P185" s="62"/>
      <c r="Q185" s="93"/>
    </row>
    <row r="186" spans="1:17" ht="15.75">
      <c r="A186" s="141"/>
      <c r="B186" s="142"/>
      <c r="C186" s="142"/>
      <c r="D186" s="142"/>
      <c r="E186" s="142"/>
      <c r="F186" s="142"/>
      <c r="G186" s="142"/>
      <c r="H186" s="142"/>
      <c r="I186" s="142"/>
      <c r="J186" s="143"/>
      <c r="K186" s="7"/>
      <c r="L186" s="61"/>
      <c r="M186" s="7"/>
      <c r="N186" s="4"/>
      <c r="O186" s="61"/>
      <c r="P186" s="7"/>
      <c r="Q186" s="93"/>
    </row>
    <row r="187" spans="1:17" ht="15.75">
      <c r="A187" s="17"/>
      <c r="B187" s="75"/>
      <c r="C187" s="192"/>
      <c r="D187" s="148"/>
      <c r="E187" s="110"/>
      <c r="F187" s="110"/>
      <c r="G187" s="193"/>
      <c r="H187" s="148"/>
      <c r="I187" s="148"/>
      <c r="J187" s="112"/>
      <c r="K187" s="9"/>
      <c r="L187" s="60"/>
      <c r="M187" s="59"/>
      <c r="N187" s="9"/>
      <c r="O187" s="60"/>
      <c r="P187" s="65"/>
      <c r="Q187" s="93"/>
    </row>
    <row r="188" spans="1:17" ht="15.75">
      <c r="A188" s="17"/>
      <c r="B188" s="75"/>
      <c r="C188" s="192"/>
      <c r="D188" s="148"/>
      <c r="E188" s="110"/>
      <c r="F188" s="110"/>
      <c r="G188" s="193"/>
      <c r="H188" s="148"/>
      <c r="I188" s="148"/>
      <c r="J188" s="112"/>
      <c r="K188" s="9"/>
      <c r="L188" s="60"/>
      <c r="M188" s="59"/>
      <c r="N188" s="9"/>
      <c r="O188" s="60"/>
      <c r="P188" s="65"/>
      <c r="Q188" s="93"/>
    </row>
    <row r="189" spans="1:17" ht="15.75">
      <c r="A189" s="17"/>
      <c r="B189" s="75"/>
      <c r="C189" s="192"/>
      <c r="D189" s="148"/>
      <c r="E189" s="110"/>
      <c r="F189" s="110"/>
      <c r="G189" s="193"/>
      <c r="H189" s="148"/>
      <c r="I189" s="148"/>
      <c r="J189" s="112"/>
      <c r="K189" s="9"/>
      <c r="L189" s="60"/>
      <c r="M189" s="59"/>
      <c r="N189" s="9"/>
      <c r="O189" s="60"/>
      <c r="P189" s="65"/>
      <c r="Q189" s="93"/>
    </row>
    <row r="190" spans="1:17" ht="15.75">
      <c r="A190" s="17"/>
      <c r="B190" s="75"/>
      <c r="C190" s="192"/>
      <c r="D190" s="148"/>
      <c r="E190" s="110"/>
      <c r="F190" s="110"/>
      <c r="G190" s="193"/>
      <c r="H190" s="148"/>
      <c r="I190" s="148"/>
      <c r="J190" s="112"/>
      <c r="K190" s="9"/>
      <c r="L190" s="60"/>
      <c r="M190" s="59"/>
      <c r="N190" s="9"/>
      <c r="O190" s="60"/>
      <c r="P190" s="65"/>
      <c r="Q190" s="93"/>
    </row>
    <row r="191" spans="1:17" ht="15.75">
      <c r="A191" s="17"/>
      <c r="B191" s="75"/>
      <c r="C191" s="192"/>
      <c r="D191" s="148"/>
      <c r="E191" s="111"/>
      <c r="F191" s="110"/>
      <c r="G191" s="193"/>
      <c r="H191" s="148"/>
      <c r="I191" s="148"/>
      <c r="J191" s="112"/>
      <c r="K191" s="9"/>
      <c r="L191" s="60"/>
      <c r="M191" s="59"/>
      <c r="N191" s="9"/>
      <c r="O191" s="60"/>
      <c r="P191" s="65"/>
      <c r="Q191" s="93"/>
    </row>
    <row r="192" spans="1:17" ht="18.75">
      <c r="A192" s="17"/>
      <c r="B192" s="9"/>
      <c r="C192" s="188"/>
      <c r="D192" s="194"/>
      <c r="E192" s="194"/>
      <c r="F192" s="194"/>
      <c r="G192" s="194"/>
      <c r="H192" s="194"/>
      <c r="I192" s="194"/>
      <c r="J192" s="113"/>
      <c r="K192" s="67"/>
      <c r="L192" s="68"/>
      <c r="M192" s="69"/>
      <c r="N192" s="67"/>
      <c r="O192" s="68"/>
      <c r="P192" s="70"/>
      <c r="Q192" s="94"/>
    </row>
    <row r="193" spans="1:17" ht="15.75">
      <c r="A193" s="17"/>
      <c r="B193" s="9"/>
      <c r="C193" s="9"/>
      <c r="D193" s="9"/>
      <c r="E193" s="9"/>
      <c r="F193" s="32"/>
      <c r="G193" s="33"/>
      <c r="H193" s="33"/>
      <c r="I193" s="33"/>
      <c r="J193" s="33"/>
      <c r="K193" s="69"/>
      <c r="L193" s="68"/>
      <c r="M193" s="69"/>
      <c r="N193" s="67"/>
      <c r="O193" s="68"/>
      <c r="P193" s="70"/>
      <c r="Q193" s="95"/>
    </row>
    <row r="194" spans="1:17" ht="18">
      <c r="A194" s="195" t="s">
        <v>30</v>
      </c>
      <c r="B194" s="135"/>
      <c r="C194" s="135"/>
      <c r="D194" s="135"/>
      <c r="E194" s="135"/>
      <c r="F194" s="135"/>
      <c r="G194" s="135"/>
      <c r="H194" s="135"/>
      <c r="I194" s="135"/>
      <c r="J194" s="135"/>
      <c r="K194" s="71"/>
      <c r="L194" s="72"/>
      <c r="M194" s="71"/>
      <c r="N194" s="12"/>
      <c r="O194" s="73" t="s">
        <v>18</v>
      </c>
      <c r="P194" s="74"/>
      <c r="Q194" s="116">
        <f>Q181</f>
        <v>0</v>
      </c>
    </row>
    <row r="195" spans="1:17" ht="15.75">
      <c r="A195" s="34" t="s">
        <v>31</v>
      </c>
      <c r="B195" s="196" t="s">
        <v>32</v>
      </c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29"/>
    </row>
    <row r="196" spans="1:17" ht="15.75">
      <c r="A196" s="35"/>
      <c r="B196" s="5"/>
      <c r="C196" s="4" t="s">
        <v>33</v>
      </c>
      <c r="D196" s="4"/>
      <c r="E196" s="4"/>
      <c r="F196" s="4"/>
      <c r="G196" s="4"/>
      <c r="H196" s="4"/>
      <c r="I196" s="4"/>
      <c r="J196" s="4"/>
      <c r="K196" s="5"/>
      <c r="L196" s="75"/>
      <c r="M196" s="75"/>
      <c r="N196" s="9"/>
      <c r="O196" s="75"/>
      <c r="P196" s="76"/>
      <c r="Q196" s="49"/>
    </row>
    <row r="197" spans="1:17" ht="15.75">
      <c r="A197" s="35"/>
      <c r="B197" s="5"/>
      <c r="C197" s="4"/>
      <c r="D197" s="4"/>
      <c r="E197" s="4"/>
      <c r="F197" s="4"/>
      <c r="G197" s="4"/>
      <c r="H197" s="4"/>
      <c r="I197" s="4"/>
      <c r="J197" s="4"/>
      <c r="K197" s="5"/>
      <c r="L197" s="75"/>
      <c r="M197" s="75"/>
      <c r="N197" s="9"/>
      <c r="O197" s="75"/>
      <c r="P197" s="76"/>
      <c r="Q197" s="49"/>
    </row>
    <row r="198" spans="1:17" ht="15.75">
      <c r="A198" s="35"/>
      <c r="B198" s="5"/>
      <c r="C198" s="4"/>
      <c r="D198" s="4"/>
      <c r="E198" s="4"/>
      <c r="F198" s="4"/>
      <c r="G198" s="4"/>
      <c r="H198" s="4"/>
      <c r="I198" s="4"/>
      <c r="J198" s="4"/>
      <c r="K198" s="5"/>
      <c r="L198" s="75"/>
      <c r="M198" s="75"/>
      <c r="N198" s="9"/>
      <c r="O198" s="75"/>
      <c r="P198" s="76"/>
      <c r="Q198" s="49"/>
    </row>
    <row r="199" spans="1:17" ht="15.75">
      <c r="A199" s="35"/>
      <c r="B199" s="5"/>
      <c r="C199" s="4"/>
      <c r="D199" s="4"/>
      <c r="E199" s="4"/>
      <c r="F199" s="4"/>
      <c r="G199" s="4"/>
      <c r="H199" s="4"/>
      <c r="I199" s="4"/>
      <c r="J199" s="4"/>
      <c r="K199" s="5"/>
      <c r="L199" s="75"/>
      <c r="M199" s="75"/>
      <c r="N199" s="9"/>
      <c r="O199" s="75"/>
      <c r="P199" s="76"/>
      <c r="Q199" s="49"/>
    </row>
    <row r="200" spans="1:17" ht="20.25">
      <c r="A200" s="182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29"/>
    </row>
    <row r="201" spans="1:17" ht="20.25">
      <c r="A201" s="183" t="s">
        <v>34</v>
      </c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29"/>
    </row>
    <row r="202" spans="1:17" ht="15.75">
      <c r="A202" s="36" t="s">
        <v>35</v>
      </c>
      <c r="B202" s="37" t="s">
        <v>36</v>
      </c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97"/>
    </row>
    <row r="203" spans="1:17" ht="15.75">
      <c r="A203" s="184" t="s">
        <v>37</v>
      </c>
      <c r="B203" s="185"/>
      <c r="C203" s="185"/>
      <c r="D203" s="185"/>
      <c r="E203" s="185"/>
      <c r="F203" s="185"/>
      <c r="G203" s="185"/>
      <c r="H203" s="185"/>
      <c r="I203" s="185"/>
      <c r="J203" s="185"/>
      <c r="K203" s="186" t="s">
        <v>38</v>
      </c>
      <c r="L203" s="185"/>
      <c r="M203" s="187"/>
      <c r="N203" s="77"/>
      <c r="O203" s="78"/>
      <c r="P203" s="79" t="s">
        <v>39</v>
      </c>
      <c r="Q203" s="98" t="s">
        <v>40</v>
      </c>
    </row>
    <row r="204" spans="1:17" ht="18">
      <c r="A204" s="39"/>
      <c r="B204" s="188" t="s">
        <v>76</v>
      </c>
      <c r="C204" s="188"/>
      <c r="D204" s="188"/>
      <c r="E204" s="188"/>
      <c r="F204" s="188"/>
      <c r="G204" s="188"/>
      <c r="H204" s="188"/>
      <c r="I204" s="188"/>
      <c r="J204" s="188"/>
      <c r="K204" s="189" t="s">
        <v>77</v>
      </c>
      <c r="L204" s="190"/>
      <c r="M204" s="191"/>
      <c r="N204" s="190"/>
      <c r="O204" s="190"/>
      <c r="P204" s="191"/>
      <c r="Q204" s="99"/>
    </row>
    <row r="205" spans="1:17" ht="18">
      <c r="A205" s="39"/>
      <c r="B205" s="188" t="s">
        <v>76</v>
      </c>
      <c r="C205" s="188"/>
      <c r="D205" s="188"/>
      <c r="E205" s="188"/>
      <c r="F205" s="188"/>
      <c r="G205" s="188"/>
      <c r="H205" s="188"/>
      <c r="I205" s="188"/>
      <c r="J205" s="188"/>
      <c r="K205" s="189" t="s">
        <v>77</v>
      </c>
      <c r="L205" s="190"/>
      <c r="M205" s="191"/>
      <c r="N205" s="190"/>
      <c r="O205" s="190"/>
      <c r="P205" s="191"/>
      <c r="Q205" s="99"/>
    </row>
    <row r="206" spans="1:17" ht="18">
      <c r="A206" s="41"/>
      <c r="B206" s="172" t="s">
        <v>43</v>
      </c>
      <c r="C206" s="135"/>
      <c r="D206" s="135"/>
      <c r="E206" s="135"/>
      <c r="F206" s="135"/>
      <c r="G206" s="135"/>
      <c r="H206" s="135"/>
      <c r="I206" s="135"/>
      <c r="J206" s="135"/>
      <c r="K206" s="173" t="s">
        <v>42</v>
      </c>
      <c r="L206" s="135"/>
      <c r="M206" s="159"/>
      <c r="N206" s="84"/>
      <c r="O206" s="84"/>
      <c r="P206" s="85"/>
      <c r="Q206" s="100"/>
    </row>
    <row r="207" spans="1:17" ht="15.75">
      <c r="A207" s="42" t="s">
        <v>44</v>
      </c>
      <c r="B207" s="174" t="s">
        <v>45</v>
      </c>
      <c r="C207" s="135"/>
      <c r="D207" s="135"/>
      <c r="E207" s="135"/>
      <c r="F207" s="135"/>
      <c r="G207" s="135"/>
      <c r="H207" s="135"/>
      <c r="I207" s="135"/>
      <c r="J207" s="135"/>
      <c r="K207" s="86" t="s">
        <v>46</v>
      </c>
      <c r="L207" s="175" t="s">
        <v>47</v>
      </c>
      <c r="M207" s="135"/>
      <c r="N207" s="135"/>
      <c r="O207" s="135"/>
      <c r="P207" s="135"/>
      <c r="Q207" s="132"/>
    </row>
    <row r="208" spans="1:17" ht="18">
      <c r="A208" s="43"/>
      <c r="B208" s="44"/>
      <c r="C208" s="45" t="s">
        <v>48</v>
      </c>
      <c r="D208" s="45"/>
      <c r="E208" s="45"/>
      <c r="F208" s="45"/>
      <c r="G208" s="45"/>
      <c r="H208" s="45"/>
      <c r="I208" s="45"/>
      <c r="J208" s="45"/>
      <c r="K208" s="144"/>
      <c r="L208" s="145"/>
      <c r="M208" s="145"/>
      <c r="N208" s="145"/>
      <c r="O208" s="145"/>
      <c r="P208" s="145"/>
      <c r="Q208" s="146"/>
    </row>
    <row r="209" spans="1:17" ht="18">
      <c r="A209" s="17"/>
      <c r="B209" s="8"/>
      <c r="C209" s="46" t="s">
        <v>50</v>
      </c>
      <c r="D209" s="46"/>
      <c r="E209" s="46"/>
      <c r="F209" s="46"/>
      <c r="G209" s="46"/>
      <c r="H209" s="46"/>
      <c r="I209" s="46"/>
      <c r="J209" s="46"/>
      <c r="K209" s="147"/>
      <c r="L209" s="148"/>
      <c r="M209" s="148"/>
      <c r="N209" s="148"/>
      <c r="O209" s="148"/>
      <c r="P209" s="148"/>
      <c r="Q209" s="129"/>
    </row>
    <row r="210" spans="1:17" ht="18">
      <c r="A210" s="35"/>
      <c r="B210" s="8"/>
      <c r="C210" s="46" t="s">
        <v>51</v>
      </c>
      <c r="D210" s="46"/>
      <c r="E210" s="46"/>
      <c r="F210" s="46"/>
      <c r="G210" s="46"/>
      <c r="H210" s="46"/>
      <c r="I210" s="46"/>
      <c r="J210" s="46"/>
      <c r="K210" s="147"/>
      <c r="L210" s="148"/>
      <c r="M210" s="148"/>
      <c r="N210" s="148"/>
      <c r="O210" s="148"/>
      <c r="P210" s="148"/>
      <c r="Q210" s="129"/>
    </row>
    <row r="211" spans="1:17" ht="18">
      <c r="A211" s="47"/>
      <c r="B211" s="12"/>
      <c r="C211" s="48" t="s">
        <v>52</v>
      </c>
      <c r="D211" s="48"/>
      <c r="E211" s="48"/>
      <c r="F211" s="48"/>
      <c r="G211" s="48"/>
      <c r="H211" s="48"/>
      <c r="I211" s="48"/>
      <c r="J211" s="48"/>
      <c r="K211" s="134"/>
      <c r="L211" s="135"/>
      <c r="M211" s="135"/>
      <c r="N211" s="135"/>
      <c r="O211" s="135"/>
      <c r="P211" s="135"/>
      <c r="Q211" s="132"/>
    </row>
    <row r="212" spans="1:17">
      <c r="A212" s="149" t="s">
        <v>53</v>
      </c>
      <c r="B212" s="145"/>
      <c r="C212" s="151"/>
      <c r="D212" s="145"/>
      <c r="E212" s="145"/>
      <c r="F212" s="145"/>
      <c r="G212" s="145"/>
      <c r="H212" s="145"/>
      <c r="I212" s="145"/>
      <c r="J212" s="145"/>
      <c r="K212" s="149" t="s">
        <v>53</v>
      </c>
      <c r="L212" s="150"/>
      <c r="M212" s="152"/>
      <c r="N212" s="145"/>
      <c r="O212" s="145"/>
      <c r="P212" s="145"/>
      <c r="Q212" s="146"/>
    </row>
    <row r="213" spans="1:17">
      <c r="A213" s="122"/>
      <c r="B213" s="123"/>
      <c r="C213" s="126"/>
      <c r="D213" s="123"/>
      <c r="E213" s="123"/>
      <c r="F213" s="123"/>
      <c r="G213" s="123"/>
      <c r="H213" s="123"/>
      <c r="I213" s="123"/>
      <c r="J213" s="123"/>
      <c r="K213" s="122"/>
      <c r="L213" s="127"/>
      <c r="M213" s="123"/>
      <c r="N213" s="123"/>
      <c r="O213" s="123"/>
      <c r="P213" s="123"/>
      <c r="Q213" s="130"/>
    </row>
    <row r="214" spans="1:17">
      <c r="A214" s="153" t="s">
        <v>54</v>
      </c>
      <c r="B214" s="121"/>
      <c r="C214" s="155"/>
      <c r="D214" s="121"/>
      <c r="E214" s="121"/>
      <c r="F214" s="121"/>
      <c r="G214" s="121"/>
      <c r="H214" s="121"/>
      <c r="I214" s="121"/>
      <c r="J214" s="121"/>
      <c r="K214" s="154" t="s">
        <v>54</v>
      </c>
      <c r="L214" s="125"/>
      <c r="M214" s="156"/>
      <c r="N214" s="121"/>
      <c r="O214" s="121"/>
      <c r="P214" s="121"/>
      <c r="Q214" s="137"/>
    </row>
    <row r="215" spans="1:17">
      <c r="A215" s="122"/>
      <c r="B215" s="123"/>
      <c r="C215" s="126"/>
      <c r="D215" s="123"/>
      <c r="E215" s="123"/>
      <c r="F215" s="123"/>
      <c r="G215" s="123"/>
      <c r="H215" s="123"/>
      <c r="I215" s="123"/>
      <c r="J215" s="123"/>
      <c r="K215" s="122"/>
      <c r="L215" s="127"/>
      <c r="M215" s="123"/>
      <c r="N215" s="123"/>
      <c r="O215" s="123"/>
      <c r="P215" s="123"/>
      <c r="Q215" s="130"/>
    </row>
    <row r="216" spans="1:17">
      <c r="A216" s="153" t="s">
        <v>55</v>
      </c>
      <c r="B216" s="121"/>
      <c r="C216" s="176" t="s">
        <v>56</v>
      </c>
      <c r="D216" s="121"/>
      <c r="E216" s="121"/>
      <c r="F216" s="121"/>
      <c r="G216" s="121"/>
      <c r="H216" s="121"/>
      <c r="I216" s="121"/>
      <c r="J216" s="137"/>
      <c r="K216" s="154" t="s">
        <v>55</v>
      </c>
      <c r="L216" s="125"/>
      <c r="M216" s="176" t="s">
        <v>57</v>
      </c>
      <c r="N216" s="121"/>
      <c r="O216" s="121"/>
      <c r="P216" s="121"/>
      <c r="Q216" s="137"/>
    </row>
    <row r="217" spans="1:17">
      <c r="A217" s="147"/>
      <c r="B217" s="148"/>
      <c r="C217" s="177" t="s">
        <v>58</v>
      </c>
      <c r="D217" s="123"/>
      <c r="E217" s="123"/>
      <c r="F217" s="123"/>
      <c r="G217" s="123"/>
      <c r="H217" s="123"/>
      <c r="I217" s="123"/>
      <c r="J217" s="123"/>
      <c r="K217" s="147"/>
      <c r="L217" s="157"/>
      <c r="M217" s="178" t="s">
        <v>59</v>
      </c>
      <c r="N217" s="123"/>
      <c r="O217" s="123"/>
      <c r="P217" s="123"/>
      <c r="Q217" s="130"/>
    </row>
    <row r="218" spans="1:17">
      <c r="A218" s="158" t="s">
        <v>60</v>
      </c>
      <c r="B218" s="121"/>
      <c r="C218" s="160"/>
      <c r="D218" s="121"/>
      <c r="E218" s="121"/>
      <c r="F218" s="121"/>
      <c r="G218" s="121"/>
      <c r="H218" s="121"/>
      <c r="I218" s="121"/>
      <c r="J218" s="121"/>
      <c r="K218" s="158" t="s">
        <v>60</v>
      </c>
      <c r="L218" s="125"/>
      <c r="M218" s="161"/>
      <c r="N218" s="121"/>
      <c r="O218" s="121"/>
      <c r="P218" s="121"/>
      <c r="Q218" s="137"/>
    </row>
    <row r="219" spans="1:17">
      <c r="A219" s="134"/>
      <c r="B219" s="135"/>
      <c r="C219" s="131"/>
      <c r="D219" s="135"/>
      <c r="E219" s="135"/>
      <c r="F219" s="135"/>
      <c r="G219" s="135"/>
      <c r="H219" s="135"/>
      <c r="I219" s="135"/>
      <c r="J219" s="135"/>
      <c r="K219" s="134"/>
      <c r="L219" s="159"/>
      <c r="M219" s="135"/>
      <c r="N219" s="135"/>
      <c r="O219" s="135"/>
      <c r="P219" s="135"/>
      <c r="Q219" s="132"/>
    </row>
    <row r="220" spans="1:17" ht="15.75">
      <c r="A220" s="36" t="s">
        <v>61</v>
      </c>
      <c r="B220" s="179" t="s">
        <v>62</v>
      </c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1"/>
      <c r="P220" s="87" t="s">
        <v>63</v>
      </c>
      <c r="Q220" s="101"/>
    </row>
    <row r="221" spans="1:17">
      <c r="A221" s="120" t="s">
        <v>64</v>
      </c>
      <c r="B221" s="121"/>
      <c r="C221" s="124"/>
      <c r="D221" s="121"/>
      <c r="E221" s="121"/>
      <c r="F221" s="121"/>
      <c r="G221" s="121"/>
      <c r="H221" s="121"/>
      <c r="I221" s="125"/>
      <c r="J221" s="169" t="s">
        <v>65</v>
      </c>
      <c r="K221" s="163" t="s">
        <v>66</v>
      </c>
      <c r="L221" s="121"/>
      <c r="M221" s="121"/>
      <c r="N221" s="121"/>
      <c r="O221" s="125"/>
      <c r="P221" s="128" t="s">
        <v>67</v>
      </c>
      <c r="Q221" s="129"/>
    </row>
    <row r="222" spans="1:17" ht="18">
      <c r="A222" s="122"/>
      <c r="B222" s="123"/>
      <c r="C222" s="126"/>
      <c r="D222" s="123"/>
      <c r="E222" s="123"/>
      <c r="F222" s="123"/>
      <c r="G222" s="123"/>
      <c r="H222" s="123"/>
      <c r="I222" s="127"/>
      <c r="J222" s="126"/>
      <c r="K222" s="164"/>
      <c r="L222" s="123"/>
      <c r="M222" s="123"/>
      <c r="N222" s="123"/>
      <c r="O222" s="127"/>
      <c r="P222" s="126"/>
      <c r="Q222" s="130"/>
    </row>
    <row r="223" spans="1:17" ht="15.75">
      <c r="A223" s="120" t="s">
        <v>68</v>
      </c>
      <c r="B223" s="121"/>
      <c r="C223" s="124"/>
      <c r="D223" s="121"/>
      <c r="E223" s="121"/>
      <c r="F223" s="121"/>
      <c r="G223" s="121"/>
      <c r="H223" s="121"/>
      <c r="I223" s="125"/>
      <c r="J223" s="169" t="s">
        <v>65</v>
      </c>
      <c r="K223" s="163" t="s">
        <v>69</v>
      </c>
      <c r="L223" s="121"/>
      <c r="M223" s="121"/>
      <c r="N223" s="121"/>
      <c r="O223" s="125"/>
      <c r="P223" s="14" t="s">
        <v>60</v>
      </c>
      <c r="Q223" s="114"/>
    </row>
    <row r="224" spans="1:17" ht="15.75">
      <c r="A224" s="122"/>
      <c r="B224" s="123"/>
      <c r="C224" s="126"/>
      <c r="D224" s="123"/>
      <c r="E224" s="123"/>
      <c r="F224" s="123"/>
      <c r="G224" s="123"/>
      <c r="H224" s="123"/>
      <c r="I224" s="127"/>
      <c r="J224" s="126"/>
      <c r="K224" s="165"/>
      <c r="L224" s="123"/>
      <c r="M224" s="123"/>
      <c r="N224" s="123"/>
      <c r="O224" s="127"/>
      <c r="P224" s="128" t="s">
        <v>67</v>
      </c>
      <c r="Q224" s="129"/>
    </row>
    <row r="225" spans="1:17">
      <c r="A225" s="166" t="s">
        <v>70</v>
      </c>
      <c r="B225" s="167"/>
      <c r="C225" s="167"/>
      <c r="D225" s="167"/>
      <c r="E225" s="167"/>
      <c r="F225" s="167"/>
      <c r="G225" s="167"/>
      <c r="H225" s="167"/>
      <c r="I225" s="167"/>
      <c r="J225" s="167"/>
      <c r="K225" s="167"/>
      <c r="L225" s="167"/>
      <c r="M225" s="167"/>
      <c r="N225" s="167"/>
      <c r="O225" s="168"/>
      <c r="P225" s="131"/>
      <c r="Q225" s="132"/>
    </row>
    <row r="226" spans="1:17" ht="15.75">
      <c r="A226" s="10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5"/>
      <c r="Q226" s="5"/>
    </row>
    <row r="227" spans="1:17" ht="15.75">
      <c r="A227" s="10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5"/>
      <c r="Q227" s="5"/>
    </row>
    <row r="228" spans="1:17" ht="15.75">
      <c r="A228" s="10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5"/>
      <c r="Q228" s="5"/>
    </row>
    <row r="229" spans="1:17" ht="15.75">
      <c r="A229" s="10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5"/>
      <c r="Q229" s="5"/>
    </row>
    <row r="230" spans="1:17" ht="15.75">
      <c r="A230" s="103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</row>
    <row r="231" spans="1:17">
      <c r="A231" s="104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</row>
    <row r="232" spans="1:17">
      <c r="A232" s="104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</row>
    <row r="233" spans="1:17">
      <c r="A233" s="106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</row>
    <row r="234" spans="1:17">
      <c r="A234" s="107"/>
      <c r="B234" s="108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</row>
    <row r="235" spans="1:17">
      <c r="A235" s="107"/>
      <c r="B235" s="108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</row>
    <row r="236" spans="1:17">
      <c r="A236" s="107"/>
      <c r="B236" s="108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</row>
    <row r="237" spans="1:17">
      <c r="A237" s="109"/>
      <c r="B237" s="108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</row>
    <row r="238" spans="1:17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</sheetData>
  <mergeCells count="261">
    <mergeCell ref="A1:O1"/>
    <mergeCell ref="P1:Q1"/>
    <mergeCell ref="P2:Q2"/>
    <mergeCell ref="D3:O3"/>
    <mergeCell ref="P3:Q3"/>
    <mergeCell ref="D4:O4"/>
    <mergeCell ref="P4:Q4"/>
    <mergeCell ref="D5:O5"/>
    <mergeCell ref="P5:Q5"/>
    <mergeCell ref="P6:Q6"/>
    <mergeCell ref="A7:O7"/>
    <mergeCell ref="C8:Q8"/>
    <mergeCell ref="H10:I10"/>
    <mergeCell ref="K10:L10"/>
    <mergeCell ref="K11:O11"/>
    <mergeCell ref="P11:Q11"/>
    <mergeCell ref="K12:O12"/>
    <mergeCell ref="P12:Q12"/>
    <mergeCell ref="A8:B10"/>
    <mergeCell ref="A11:B12"/>
    <mergeCell ref="C11:J12"/>
    <mergeCell ref="B39:Q39"/>
    <mergeCell ref="A44:Q44"/>
    <mergeCell ref="A45:Q45"/>
    <mergeCell ref="A47:J47"/>
    <mergeCell ref="K47:M47"/>
    <mergeCell ref="A15:J15"/>
    <mergeCell ref="K15:L15"/>
    <mergeCell ref="M15:O15"/>
    <mergeCell ref="P15:Q15"/>
    <mergeCell ref="K17:L17"/>
    <mergeCell ref="C22:D22"/>
    <mergeCell ref="G22:I22"/>
    <mergeCell ref="C23:E23"/>
    <mergeCell ref="F23:G23"/>
    <mergeCell ref="C61:J61"/>
    <mergeCell ref="M61:Q61"/>
    <mergeCell ref="B64:O64"/>
    <mergeCell ref="K65:O65"/>
    <mergeCell ref="K66:O66"/>
    <mergeCell ref="K67:O67"/>
    <mergeCell ref="K68:O68"/>
    <mergeCell ref="A69:O69"/>
    <mergeCell ref="A88:O88"/>
    <mergeCell ref="P88:Q88"/>
    <mergeCell ref="A60:B61"/>
    <mergeCell ref="K60:L61"/>
    <mergeCell ref="A62:B63"/>
    <mergeCell ref="K62:L63"/>
    <mergeCell ref="C62:J63"/>
    <mergeCell ref="M62:Q63"/>
    <mergeCell ref="P65:Q66"/>
    <mergeCell ref="P68:Q69"/>
    <mergeCell ref="C60:J60"/>
    <mergeCell ref="M60:Q60"/>
    <mergeCell ref="P89:Q89"/>
    <mergeCell ref="D90:O90"/>
    <mergeCell ref="P90:Q90"/>
    <mergeCell ref="D91:O91"/>
    <mergeCell ref="P91:Q91"/>
    <mergeCell ref="D92:O92"/>
    <mergeCell ref="P92:Q92"/>
    <mergeCell ref="P93:Q93"/>
    <mergeCell ref="A94:O94"/>
    <mergeCell ref="C95:Q95"/>
    <mergeCell ref="H97:I97"/>
    <mergeCell ref="K97:L97"/>
    <mergeCell ref="K98:O98"/>
    <mergeCell ref="P98:Q98"/>
    <mergeCell ref="K99:O99"/>
    <mergeCell ref="P99:Q99"/>
    <mergeCell ref="A102:J102"/>
    <mergeCell ref="K102:L102"/>
    <mergeCell ref="M102:O102"/>
    <mergeCell ref="P102:Q102"/>
    <mergeCell ref="K104:L104"/>
    <mergeCell ref="C110:D110"/>
    <mergeCell ref="G110:I110"/>
    <mergeCell ref="C111:D111"/>
    <mergeCell ref="G111:I111"/>
    <mergeCell ref="C112:D112"/>
    <mergeCell ref="G112:I112"/>
    <mergeCell ref="C113:D113"/>
    <mergeCell ref="G113:I113"/>
    <mergeCell ref="C114:D114"/>
    <mergeCell ref="G114:I114"/>
    <mergeCell ref="C115:I115"/>
    <mergeCell ref="A117:J117"/>
    <mergeCell ref="B118:Q118"/>
    <mergeCell ref="A123:Q123"/>
    <mergeCell ref="A124:Q124"/>
    <mergeCell ref="A126:J126"/>
    <mergeCell ref="K126:M126"/>
    <mergeCell ref="B127:J127"/>
    <mergeCell ref="K127:M127"/>
    <mergeCell ref="N127:P127"/>
    <mergeCell ref="B128:J128"/>
    <mergeCell ref="K128:M128"/>
    <mergeCell ref="N128:P128"/>
    <mergeCell ref="B129:J129"/>
    <mergeCell ref="K129:M129"/>
    <mergeCell ref="B130:J130"/>
    <mergeCell ref="L130:Q130"/>
    <mergeCell ref="B143:O143"/>
    <mergeCell ref="K144:O144"/>
    <mergeCell ref="K145:O145"/>
    <mergeCell ref="K146:O146"/>
    <mergeCell ref="K147:O147"/>
    <mergeCell ref="A144:B145"/>
    <mergeCell ref="C144:I145"/>
    <mergeCell ref="P144:Q145"/>
    <mergeCell ref="A146:B147"/>
    <mergeCell ref="C146:I147"/>
    <mergeCell ref="A148:O148"/>
    <mergeCell ref="A165:O165"/>
    <mergeCell ref="P165:Q165"/>
    <mergeCell ref="P166:Q166"/>
    <mergeCell ref="D167:O167"/>
    <mergeCell ref="P167:Q167"/>
    <mergeCell ref="D168:O168"/>
    <mergeCell ref="P168:Q168"/>
    <mergeCell ref="D169:O169"/>
    <mergeCell ref="P169:Q169"/>
    <mergeCell ref="P147:Q148"/>
    <mergeCell ref="P170:Q170"/>
    <mergeCell ref="A171:O171"/>
    <mergeCell ref="C172:Q172"/>
    <mergeCell ref="H174:I174"/>
    <mergeCell ref="K174:L174"/>
    <mergeCell ref="K175:O175"/>
    <mergeCell ref="P175:Q175"/>
    <mergeCell ref="K176:O176"/>
    <mergeCell ref="P176:Q176"/>
    <mergeCell ref="A172:B174"/>
    <mergeCell ref="A175:B176"/>
    <mergeCell ref="C175:J176"/>
    <mergeCell ref="A179:J179"/>
    <mergeCell ref="K179:L179"/>
    <mergeCell ref="M179:O179"/>
    <mergeCell ref="P179:Q179"/>
    <mergeCell ref="K181:L181"/>
    <mergeCell ref="C187:D187"/>
    <mergeCell ref="G187:I187"/>
    <mergeCell ref="C188:D188"/>
    <mergeCell ref="G188:I188"/>
    <mergeCell ref="C189:D189"/>
    <mergeCell ref="G189:I189"/>
    <mergeCell ref="C190:D190"/>
    <mergeCell ref="G190:I190"/>
    <mergeCell ref="C191:D191"/>
    <mergeCell ref="G191:I191"/>
    <mergeCell ref="C192:I192"/>
    <mergeCell ref="A194:J194"/>
    <mergeCell ref="B195:Q195"/>
    <mergeCell ref="A200:Q200"/>
    <mergeCell ref="A201:Q201"/>
    <mergeCell ref="A203:J203"/>
    <mergeCell ref="K203:M203"/>
    <mergeCell ref="B204:J204"/>
    <mergeCell ref="K204:M204"/>
    <mergeCell ref="N204:P204"/>
    <mergeCell ref="B205:J205"/>
    <mergeCell ref="K205:M205"/>
    <mergeCell ref="N205:P205"/>
    <mergeCell ref="C217:J217"/>
    <mergeCell ref="M217:Q217"/>
    <mergeCell ref="B220:O220"/>
    <mergeCell ref="A216:B217"/>
    <mergeCell ref="K216:L217"/>
    <mergeCell ref="A218:B219"/>
    <mergeCell ref="K218:L219"/>
    <mergeCell ref="C218:J219"/>
    <mergeCell ref="M218:Q219"/>
    <mergeCell ref="J65:J66"/>
    <mergeCell ref="J67:J68"/>
    <mergeCell ref="J144:J145"/>
    <mergeCell ref="J146:J147"/>
    <mergeCell ref="J221:J222"/>
    <mergeCell ref="J223:J224"/>
    <mergeCell ref="A65:B66"/>
    <mergeCell ref="C65:I66"/>
    <mergeCell ref="A67:B68"/>
    <mergeCell ref="C67:I68"/>
    <mergeCell ref="A95:B97"/>
    <mergeCell ref="A98:B99"/>
    <mergeCell ref="C98:J99"/>
    <mergeCell ref="A100:B101"/>
    <mergeCell ref="C100:Q101"/>
    <mergeCell ref="A103:J109"/>
    <mergeCell ref="K131:Q134"/>
    <mergeCell ref="A135:B136"/>
    <mergeCell ref="K135:L136"/>
    <mergeCell ref="B206:J206"/>
    <mergeCell ref="K206:M206"/>
    <mergeCell ref="B207:J207"/>
    <mergeCell ref="L207:Q207"/>
    <mergeCell ref="C216:J216"/>
    <mergeCell ref="A13:B14"/>
    <mergeCell ref="C13:Q14"/>
    <mergeCell ref="B17:J20"/>
    <mergeCell ref="K52:Q55"/>
    <mergeCell ref="A56:B57"/>
    <mergeCell ref="K56:L57"/>
    <mergeCell ref="C56:J57"/>
    <mergeCell ref="M56:Q57"/>
    <mergeCell ref="A58:B59"/>
    <mergeCell ref="K58:L59"/>
    <mergeCell ref="C58:J59"/>
    <mergeCell ref="M58:Q59"/>
    <mergeCell ref="B48:J48"/>
    <mergeCell ref="K48:M48"/>
    <mergeCell ref="N48:P48"/>
    <mergeCell ref="B50:J50"/>
    <mergeCell ref="K50:M50"/>
    <mergeCell ref="B51:J51"/>
    <mergeCell ref="L51:Q51"/>
    <mergeCell ref="C24:E24"/>
    <mergeCell ref="F24:G24"/>
    <mergeCell ref="C25:E25"/>
    <mergeCell ref="F25:G25"/>
    <mergeCell ref="A38:J38"/>
    <mergeCell ref="C135:J136"/>
    <mergeCell ref="M135:Q136"/>
    <mergeCell ref="A137:B138"/>
    <mergeCell ref="K137:L138"/>
    <mergeCell ref="C137:J138"/>
    <mergeCell ref="M137:Q138"/>
    <mergeCell ref="A139:B140"/>
    <mergeCell ref="K139:L140"/>
    <mergeCell ref="A141:B142"/>
    <mergeCell ref="K141:L142"/>
    <mergeCell ref="C141:J142"/>
    <mergeCell ref="M141:Q142"/>
    <mergeCell ref="C139:J139"/>
    <mergeCell ref="M139:Q139"/>
    <mergeCell ref="C140:J140"/>
    <mergeCell ref="M140:Q140"/>
    <mergeCell ref="A221:B222"/>
    <mergeCell ref="C221:I222"/>
    <mergeCell ref="P221:Q222"/>
    <mergeCell ref="A223:B224"/>
    <mergeCell ref="C223:I224"/>
    <mergeCell ref="P224:Q225"/>
    <mergeCell ref="A177:B178"/>
    <mergeCell ref="C177:Q178"/>
    <mergeCell ref="A180:J186"/>
    <mergeCell ref="K208:Q211"/>
    <mergeCell ref="A212:B213"/>
    <mergeCell ref="K212:L213"/>
    <mergeCell ref="C212:J213"/>
    <mergeCell ref="M212:Q213"/>
    <mergeCell ref="A214:B215"/>
    <mergeCell ref="K214:L215"/>
    <mergeCell ref="C214:J215"/>
    <mergeCell ref="M214:Q215"/>
    <mergeCell ref="K221:O221"/>
    <mergeCell ref="K222:O222"/>
    <mergeCell ref="K223:O223"/>
    <mergeCell ref="K224:O224"/>
    <mergeCell ref="A225:O225"/>
    <mergeCell ref="M216:Q216"/>
  </mergeCells>
  <pageMargins left="0.25" right="0.25" top="0.75" bottom="0.75" header="0.3" footer="0.3"/>
  <pageSetup paperSize="9" scale="57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949B-0F54-405C-9472-AE822CA9BFB0}">
  <sheetPr>
    <pageSetUpPr fitToPage="1"/>
  </sheetPr>
  <dimension ref="A1:Q220"/>
  <sheetViews>
    <sheetView tabSelected="1" topLeftCell="A10" zoomScale="85" zoomScaleNormal="85" workbookViewId="0">
      <selection activeCell="U16" sqref="U16"/>
    </sheetView>
  </sheetViews>
  <sheetFormatPr defaultColWidth="9.140625" defaultRowHeight="15"/>
  <cols>
    <col min="17" max="17" width="25.42578125" customWidth="1"/>
  </cols>
  <sheetData>
    <row r="1" spans="1:17" ht="15.75">
      <c r="A1" s="211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6"/>
      <c r="P1" s="212" t="s">
        <v>0</v>
      </c>
      <c r="Q1" s="146"/>
    </row>
    <row r="2" spans="1:17" ht="2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49"/>
      <c r="P2" s="229"/>
      <c r="Q2" s="130"/>
    </row>
    <row r="3" spans="1:17" ht="15.75">
      <c r="A3" s="3"/>
      <c r="B3" s="4"/>
      <c r="C3" s="4"/>
      <c r="D3" s="215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29"/>
      <c r="P3" s="216" t="s">
        <v>1</v>
      </c>
      <c r="Q3" s="129"/>
    </row>
    <row r="4" spans="1:17" ht="18">
      <c r="A4" s="3"/>
      <c r="B4" s="6"/>
      <c r="C4" s="6"/>
      <c r="D4" s="217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29"/>
      <c r="P4" s="218"/>
      <c r="Q4" s="130"/>
    </row>
    <row r="5" spans="1:17" ht="15.75">
      <c r="A5" s="3"/>
      <c r="B5" s="4"/>
      <c r="C5" s="4"/>
      <c r="D5" s="215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29"/>
      <c r="P5" s="219" t="s">
        <v>2</v>
      </c>
      <c r="Q5" s="137"/>
    </row>
    <row r="6" spans="1:17" ht="18.75" thickBot="1">
      <c r="A6" s="3"/>
      <c r="B6" s="4"/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0"/>
      <c r="P6" s="202"/>
      <c r="Q6" s="129"/>
    </row>
    <row r="7" spans="1:17" ht="16.5" thickBot="1">
      <c r="A7" s="203" t="s">
        <v>3</v>
      </c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51"/>
      <c r="Q7" s="88"/>
    </row>
    <row r="8" spans="1:17" ht="15.75">
      <c r="A8" s="170" t="s">
        <v>4</v>
      </c>
      <c r="B8" s="145"/>
      <c r="C8" s="20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6"/>
    </row>
    <row r="9" spans="1:17" ht="15.75">
      <c r="A9" s="147"/>
      <c r="B9" s="148"/>
      <c r="C9" s="7"/>
      <c r="D9" s="8"/>
      <c r="E9" s="9" t="s">
        <v>5</v>
      </c>
      <c r="F9" s="9"/>
      <c r="G9" s="8"/>
      <c r="H9" s="9" t="s">
        <v>6</v>
      </c>
      <c r="I9" s="9"/>
      <c r="J9" s="4"/>
      <c r="K9" s="8"/>
      <c r="L9" s="9" t="s">
        <v>7</v>
      </c>
      <c r="M9" s="9"/>
      <c r="N9" s="52" t="s">
        <v>8</v>
      </c>
      <c r="O9" s="9" t="s">
        <v>9</v>
      </c>
      <c r="P9" s="9"/>
      <c r="Q9" s="89"/>
    </row>
    <row r="10" spans="1:17" ht="16.5" thickBot="1">
      <c r="A10" s="134"/>
      <c r="B10" s="135"/>
      <c r="C10" s="10"/>
      <c r="D10" s="11"/>
      <c r="E10" s="11"/>
      <c r="F10" s="12"/>
      <c r="G10" s="12"/>
      <c r="H10" s="206"/>
      <c r="I10" s="135"/>
      <c r="J10" s="11"/>
      <c r="K10" s="206"/>
      <c r="L10" s="135"/>
      <c r="M10" s="11"/>
      <c r="N10" s="11"/>
      <c r="O10" s="12"/>
      <c r="P10" s="11"/>
      <c r="Q10" s="90"/>
    </row>
    <row r="11" spans="1:17" ht="20.25">
      <c r="A11" s="170" t="s">
        <v>10</v>
      </c>
      <c r="B11" s="145"/>
      <c r="C11" s="171"/>
      <c r="D11" s="145"/>
      <c r="E11" s="145"/>
      <c r="F11" s="145"/>
      <c r="G11" s="145"/>
      <c r="H11" s="145"/>
      <c r="I11" s="145"/>
      <c r="J11" s="145"/>
      <c r="K11" s="171" t="s">
        <v>11</v>
      </c>
      <c r="L11" s="145"/>
      <c r="M11" s="145"/>
      <c r="N11" s="145"/>
      <c r="O11" s="145"/>
      <c r="P11" s="207" t="s">
        <v>12</v>
      </c>
      <c r="Q11" s="146"/>
    </row>
    <row r="12" spans="1:17" ht="20.25">
      <c r="A12" s="147"/>
      <c r="B12" s="148"/>
      <c r="C12" s="126"/>
      <c r="D12" s="123"/>
      <c r="E12" s="123"/>
      <c r="F12" s="123"/>
      <c r="G12" s="123"/>
      <c r="H12" s="123"/>
      <c r="I12" s="123"/>
      <c r="J12" s="123"/>
      <c r="K12" s="208"/>
      <c r="L12" s="148"/>
      <c r="M12" s="148"/>
      <c r="N12" s="148"/>
      <c r="O12" s="148"/>
      <c r="P12" s="228"/>
      <c r="Q12" s="129"/>
    </row>
    <row r="13" spans="1:17">
      <c r="A13" s="133" t="s">
        <v>13</v>
      </c>
      <c r="B13" s="121"/>
      <c r="C13" s="136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37"/>
    </row>
    <row r="14" spans="1:17" ht="15.75" thickBot="1">
      <c r="A14" s="134"/>
      <c r="B14" s="135"/>
      <c r="C14" s="131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2"/>
    </row>
    <row r="15" spans="1:17" ht="15.75">
      <c r="A15" s="197" t="s">
        <v>14</v>
      </c>
      <c r="B15" s="180"/>
      <c r="C15" s="180"/>
      <c r="D15" s="180"/>
      <c r="E15" s="180"/>
      <c r="F15" s="180"/>
      <c r="G15" s="180"/>
      <c r="H15" s="180"/>
      <c r="I15" s="180"/>
      <c r="J15" s="180"/>
      <c r="K15" s="198"/>
      <c r="L15" s="181"/>
      <c r="M15" s="198" t="s">
        <v>15</v>
      </c>
      <c r="N15" s="180"/>
      <c r="O15" s="181"/>
      <c r="P15" s="198" t="s">
        <v>16</v>
      </c>
      <c r="Q15" s="199"/>
    </row>
    <row r="16" spans="1:17" ht="15.75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53"/>
      <c r="L16" s="54"/>
      <c r="M16" s="53"/>
      <c r="N16" s="14"/>
      <c r="O16" s="55"/>
      <c r="P16" s="56"/>
      <c r="Q16" s="91"/>
    </row>
    <row r="17" spans="1:17" ht="18">
      <c r="A17" s="15"/>
      <c r="B17" s="162" t="s">
        <v>17</v>
      </c>
      <c r="C17" s="148"/>
      <c r="D17" s="148"/>
      <c r="E17" s="148"/>
      <c r="F17" s="148"/>
      <c r="G17" s="148"/>
      <c r="H17" s="148"/>
      <c r="I17" s="148"/>
      <c r="J17" s="157"/>
      <c r="K17" s="225"/>
      <c r="L17" s="157"/>
      <c r="M17" s="7"/>
      <c r="N17" s="4"/>
      <c r="O17" s="57" t="s">
        <v>18</v>
      </c>
      <c r="P17" s="58"/>
      <c r="Q17" s="92" t="e">
        <f>#REF!</f>
        <v>#REF!</v>
      </c>
    </row>
    <row r="18" spans="1:17" ht="18">
      <c r="A18" s="15"/>
      <c r="B18" s="148"/>
      <c r="C18" s="148"/>
      <c r="D18" s="148"/>
      <c r="E18" s="148"/>
      <c r="F18" s="148"/>
      <c r="G18" s="148"/>
      <c r="H18" s="148"/>
      <c r="I18" s="148"/>
      <c r="J18" s="157"/>
      <c r="K18" s="59"/>
      <c r="L18" s="60"/>
      <c r="M18" s="7"/>
      <c r="N18" s="4"/>
      <c r="O18" s="61"/>
      <c r="P18" s="7"/>
      <c r="Q18" s="93"/>
    </row>
    <row r="19" spans="1:17" ht="18">
      <c r="A19" s="15"/>
      <c r="B19" s="148"/>
      <c r="C19" s="148"/>
      <c r="D19" s="148"/>
      <c r="E19" s="148"/>
      <c r="F19" s="148"/>
      <c r="G19" s="148"/>
      <c r="H19" s="148"/>
      <c r="I19" s="148"/>
      <c r="J19" s="157"/>
      <c r="K19" s="59"/>
      <c r="L19" s="60"/>
      <c r="M19" s="7"/>
      <c r="N19" s="4"/>
      <c r="O19" s="61"/>
      <c r="P19" s="62"/>
      <c r="Q19" s="93"/>
    </row>
    <row r="20" spans="1:17" ht="18">
      <c r="A20" s="15"/>
      <c r="B20" s="148"/>
      <c r="C20" s="148"/>
      <c r="D20" s="148"/>
      <c r="E20" s="148"/>
      <c r="F20" s="148"/>
      <c r="G20" s="148"/>
      <c r="H20" s="148"/>
      <c r="I20" s="148"/>
      <c r="J20" s="157"/>
      <c r="K20" s="59"/>
      <c r="L20" s="60"/>
      <c r="M20" s="7"/>
      <c r="N20" s="4"/>
      <c r="O20" s="61"/>
      <c r="P20" s="62"/>
      <c r="Q20" s="93"/>
    </row>
    <row r="21" spans="1:17" ht="18">
      <c r="A21" s="15"/>
      <c r="B21" s="16"/>
      <c r="C21" s="16"/>
      <c r="D21" s="16"/>
      <c r="E21" s="16"/>
      <c r="F21" s="16"/>
      <c r="G21" s="16"/>
      <c r="H21" s="16"/>
      <c r="I21" s="16"/>
      <c r="J21" s="63"/>
      <c r="K21" s="59"/>
      <c r="L21" s="60"/>
      <c r="M21" s="7"/>
      <c r="N21" s="4"/>
      <c r="O21" s="61"/>
      <c r="P21" s="62"/>
      <c r="Q21" s="93"/>
    </row>
    <row r="22" spans="1:17" ht="15.75">
      <c r="A22" s="17"/>
      <c r="B22" s="18"/>
      <c r="C22" s="226"/>
      <c r="D22" s="148"/>
      <c r="E22" s="19"/>
      <c r="F22" s="20"/>
      <c r="G22" s="227"/>
      <c r="H22" s="148"/>
      <c r="I22" s="148"/>
      <c r="J22" s="64"/>
      <c r="K22" s="7"/>
      <c r="L22" s="61"/>
      <c r="M22" s="7"/>
      <c r="N22" s="4"/>
      <c r="O22" s="61"/>
      <c r="P22" s="7"/>
      <c r="Q22" s="93"/>
    </row>
    <row r="23" spans="1:17" ht="15.75">
      <c r="A23" s="17"/>
      <c r="B23" s="18"/>
      <c r="C23" s="222" t="s">
        <v>19</v>
      </c>
      <c r="D23" s="148"/>
      <c r="E23" s="148"/>
      <c r="F23" s="223"/>
      <c r="G23" s="148"/>
      <c r="H23" s="19"/>
      <c r="I23" s="19"/>
      <c r="J23" s="64"/>
      <c r="K23" s="4"/>
      <c r="L23" s="61"/>
      <c r="M23" s="7"/>
      <c r="N23" s="4"/>
      <c r="O23" s="61"/>
      <c r="P23" s="7"/>
      <c r="Q23" s="93"/>
    </row>
    <row r="24" spans="1:17" ht="15.75">
      <c r="A24" s="17"/>
      <c r="B24" s="18"/>
      <c r="C24" s="222" t="s">
        <v>20</v>
      </c>
      <c r="D24" s="148"/>
      <c r="E24" s="148"/>
      <c r="F24" s="223"/>
      <c r="G24" s="148"/>
      <c r="H24" s="19"/>
      <c r="I24" s="19"/>
      <c r="J24" s="64"/>
      <c r="K24" s="4"/>
      <c r="L24" s="61"/>
      <c r="M24" s="7"/>
      <c r="N24" s="4"/>
      <c r="O24" s="61"/>
      <c r="P24" s="7"/>
      <c r="Q24" s="93"/>
    </row>
    <row r="25" spans="1:17" ht="15.75">
      <c r="A25" s="17"/>
      <c r="B25" s="18"/>
      <c r="C25" s="222" t="s">
        <v>21</v>
      </c>
      <c r="D25" s="148"/>
      <c r="E25" s="148"/>
      <c r="F25" s="223"/>
      <c r="G25" s="148"/>
      <c r="H25" s="19"/>
      <c r="I25" s="19"/>
      <c r="J25" s="64"/>
      <c r="K25" s="4"/>
      <c r="L25" s="61"/>
      <c r="M25" s="7"/>
      <c r="N25" s="4"/>
      <c r="O25" s="61"/>
      <c r="P25" s="7"/>
      <c r="Q25" s="93"/>
    </row>
    <row r="26" spans="1:17" ht="15.75">
      <c r="A26" s="17"/>
      <c r="B26" s="18"/>
      <c r="C26" s="22"/>
      <c r="D26" s="22"/>
      <c r="E26" s="23"/>
      <c r="F26" s="20"/>
      <c r="G26" s="24"/>
      <c r="H26" s="24"/>
      <c r="I26" s="24"/>
      <c r="J26" s="64"/>
      <c r="K26" s="4"/>
      <c r="L26" s="61"/>
      <c r="M26" s="7"/>
      <c r="N26" s="4"/>
      <c r="O26" s="61"/>
      <c r="P26" s="7"/>
      <c r="Q26" s="93"/>
    </row>
    <row r="27" spans="1:17" ht="15.75">
      <c r="A27" s="17"/>
      <c r="B27" s="18"/>
      <c r="C27" s="22"/>
      <c r="D27" s="22"/>
      <c r="E27" s="23"/>
      <c r="F27" s="20"/>
      <c r="G27" s="25"/>
      <c r="H27" s="25"/>
      <c r="I27" s="25"/>
      <c r="J27" s="64"/>
      <c r="K27" s="4"/>
      <c r="L27" s="61"/>
      <c r="M27" s="7"/>
      <c r="N27" s="4"/>
      <c r="O27" s="61"/>
      <c r="P27" s="7"/>
      <c r="Q27" s="93"/>
    </row>
    <row r="28" spans="1:17" ht="15.75">
      <c r="A28" s="17"/>
      <c r="B28" s="26"/>
      <c r="C28" s="117" t="s">
        <v>22</v>
      </c>
      <c r="D28" s="27"/>
      <c r="E28" s="23"/>
      <c r="F28" s="28"/>
      <c r="G28" s="29"/>
      <c r="H28" s="29"/>
      <c r="I28" s="29"/>
      <c r="J28" s="64"/>
      <c r="K28" s="9"/>
      <c r="L28" s="60"/>
      <c r="M28" s="59"/>
      <c r="N28" s="9"/>
      <c r="O28" s="60"/>
      <c r="P28" s="65"/>
      <c r="Q28" s="93"/>
    </row>
    <row r="29" spans="1:17" ht="15.75">
      <c r="A29" s="17"/>
      <c r="B29" s="26"/>
      <c r="C29" s="27" t="e">
        <f>#REF!</f>
        <v>#REF!</v>
      </c>
      <c r="D29" s="27"/>
      <c r="E29" s="23"/>
      <c r="F29" s="118" t="s">
        <v>23</v>
      </c>
      <c r="G29" s="29" t="e">
        <f>C29*0.05</f>
        <v>#REF!</v>
      </c>
      <c r="H29" s="29"/>
      <c r="I29" s="29"/>
      <c r="J29" s="64"/>
      <c r="K29" s="9"/>
      <c r="L29" s="60"/>
      <c r="M29" s="59"/>
      <c r="N29" s="9"/>
      <c r="O29" s="60"/>
      <c r="P29" s="65"/>
      <c r="Q29" s="93"/>
    </row>
    <row r="30" spans="1:17" ht="15.75">
      <c r="A30" s="17"/>
      <c r="B30" s="26"/>
      <c r="C30" s="27" t="e">
        <f>C29</f>
        <v>#REF!</v>
      </c>
      <c r="D30" s="117" t="s">
        <v>24</v>
      </c>
      <c r="E30" s="23" t="e">
        <f>#REF!</f>
        <v>#REF!</v>
      </c>
      <c r="F30" s="118" t="s">
        <v>25</v>
      </c>
      <c r="G30" s="29" t="e">
        <f>SUM(E30+C30)*0.02</f>
        <v>#REF!</v>
      </c>
      <c r="H30" s="29"/>
      <c r="I30" s="29"/>
      <c r="J30" s="64"/>
      <c r="K30" s="9"/>
      <c r="L30" s="60"/>
      <c r="M30" s="59"/>
      <c r="N30" s="9"/>
      <c r="O30" s="60"/>
      <c r="P30" s="65"/>
      <c r="Q30" s="93"/>
    </row>
    <row r="31" spans="1:17" ht="16.5" thickBot="1">
      <c r="A31" s="17"/>
      <c r="B31" s="26"/>
      <c r="C31" s="27"/>
      <c r="D31" s="27"/>
      <c r="E31" s="23"/>
      <c r="F31" s="28"/>
      <c r="G31" s="30" t="e">
        <f>SUM(G29:G30)</f>
        <v>#REF!</v>
      </c>
      <c r="H31" s="29"/>
      <c r="I31" s="29"/>
      <c r="J31" s="64"/>
      <c r="K31" s="9"/>
      <c r="L31" s="60"/>
      <c r="M31" s="59"/>
      <c r="N31" s="9"/>
      <c r="O31" s="60"/>
      <c r="P31" s="65"/>
      <c r="Q31" s="93" t="e">
        <f>G31</f>
        <v>#REF!</v>
      </c>
    </row>
    <row r="32" spans="1:17" ht="15.75">
      <c r="A32" s="17"/>
      <c r="B32" s="26"/>
      <c r="C32" s="27"/>
      <c r="D32" s="27"/>
      <c r="E32" s="31"/>
      <c r="F32" s="28"/>
      <c r="G32" s="29"/>
      <c r="H32" s="29"/>
      <c r="I32" s="29"/>
      <c r="J32" s="64"/>
      <c r="K32" s="9"/>
      <c r="L32" s="60"/>
      <c r="M32" s="59"/>
      <c r="N32" s="9"/>
      <c r="O32" s="60"/>
      <c r="P32" s="65"/>
      <c r="Q32" s="93"/>
    </row>
    <row r="33" spans="1:17" ht="15.75">
      <c r="A33" s="17"/>
      <c r="B33" s="26"/>
      <c r="C33" s="27"/>
      <c r="D33" s="27"/>
      <c r="E33" s="31"/>
      <c r="F33" s="28"/>
      <c r="G33" s="29"/>
      <c r="H33" s="29"/>
      <c r="I33" s="29"/>
      <c r="J33" s="64"/>
      <c r="K33" s="9"/>
      <c r="L33" s="60"/>
      <c r="M33" s="59"/>
      <c r="N33" s="9"/>
      <c r="O33" s="60"/>
      <c r="P33" s="65"/>
      <c r="Q33" s="93"/>
    </row>
    <row r="34" spans="1:17" ht="15.75">
      <c r="A34" s="17"/>
      <c r="B34" s="26"/>
      <c r="C34" s="119" t="s">
        <v>26</v>
      </c>
      <c r="D34" s="334"/>
      <c r="E34" s="334"/>
      <c r="F34" s="28"/>
      <c r="G34" s="29"/>
      <c r="H34" s="29"/>
      <c r="I34" s="29"/>
      <c r="J34" s="64"/>
      <c r="K34" s="9"/>
      <c r="L34" s="60"/>
      <c r="M34" s="59"/>
      <c r="N34" s="9"/>
      <c r="O34" s="60"/>
      <c r="P34" s="65"/>
      <c r="Q34" s="93"/>
    </row>
    <row r="35" spans="1:17" ht="15.75">
      <c r="A35" s="17"/>
      <c r="B35" s="26"/>
      <c r="C35" s="119" t="s">
        <v>28</v>
      </c>
      <c r="D35" s="334"/>
      <c r="E35" s="334"/>
      <c r="F35" s="28"/>
      <c r="G35" s="29"/>
      <c r="H35" s="29"/>
      <c r="I35" s="29"/>
      <c r="J35" s="64"/>
      <c r="K35" s="9"/>
      <c r="L35" s="60"/>
      <c r="M35" s="59"/>
      <c r="N35" s="9"/>
      <c r="O35" s="60"/>
      <c r="P35" s="65"/>
      <c r="Q35" s="93"/>
    </row>
    <row r="36" spans="1:17" ht="15.75">
      <c r="A36" s="17"/>
      <c r="B36" s="18"/>
      <c r="C36" s="21" t="s">
        <v>29</v>
      </c>
      <c r="D36" s="334"/>
      <c r="E36" s="334"/>
      <c r="F36" s="18"/>
      <c r="G36" s="18"/>
      <c r="H36" s="18"/>
      <c r="I36" s="18"/>
      <c r="J36" s="66"/>
      <c r="K36" s="67"/>
      <c r="L36" s="68"/>
      <c r="M36" s="69"/>
      <c r="N36" s="67"/>
      <c r="O36" s="68"/>
      <c r="P36" s="70"/>
      <c r="Q36" s="94"/>
    </row>
    <row r="37" spans="1:17" ht="15.75">
      <c r="A37" s="17"/>
      <c r="B37" s="9"/>
      <c r="C37" s="9"/>
      <c r="D37" s="9"/>
      <c r="E37" s="9"/>
      <c r="F37" s="32"/>
      <c r="G37" s="33"/>
      <c r="H37" s="33"/>
      <c r="I37" s="33"/>
      <c r="J37" s="33"/>
      <c r="K37" s="69"/>
      <c r="L37" s="68"/>
      <c r="M37" s="69"/>
      <c r="N37" s="67"/>
      <c r="O37" s="68"/>
      <c r="P37" s="70"/>
      <c r="Q37" s="95"/>
    </row>
    <row r="38" spans="1:17" ht="16.5" thickBot="1">
      <c r="A38" s="195" t="s">
        <v>30</v>
      </c>
      <c r="B38" s="135"/>
      <c r="C38" s="135"/>
      <c r="D38" s="135"/>
      <c r="E38" s="135"/>
      <c r="F38" s="135"/>
      <c r="G38" s="135"/>
      <c r="H38" s="135"/>
      <c r="I38" s="135"/>
      <c r="J38" s="135"/>
      <c r="K38" s="71"/>
      <c r="L38" s="72"/>
      <c r="M38" s="71"/>
      <c r="N38" s="12"/>
      <c r="O38" s="73" t="s">
        <v>18</v>
      </c>
      <c r="P38" s="74"/>
      <c r="Q38" s="96" t="e">
        <f>Q17-Q31</f>
        <v>#REF!</v>
      </c>
    </row>
    <row r="39" spans="1:17" ht="15.75">
      <c r="A39" s="34" t="s">
        <v>31</v>
      </c>
      <c r="B39" s="196" t="s">
        <v>32</v>
      </c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29"/>
    </row>
    <row r="40" spans="1:17" ht="15.75">
      <c r="A40" s="35"/>
      <c r="B40" s="5"/>
      <c r="C40" s="4" t="s">
        <v>33</v>
      </c>
      <c r="D40" s="4"/>
      <c r="E40" s="4"/>
      <c r="F40" s="4"/>
      <c r="G40" s="4"/>
      <c r="H40" s="4"/>
      <c r="I40" s="4"/>
      <c r="J40" s="4"/>
      <c r="K40" s="5"/>
      <c r="L40" s="75"/>
      <c r="M40" s="75"/>
      <c r="N40" s="9"/>
      <c r="O40" s="75"/>
      <c r="P40" s="76"/>
      <c r="Q40" s="49"/>
    </row>
    <row r="41" spans="1:17" ht="15.75">
      <c r="A41" s="35"/>
      <c r="B41" s="5"/>
      <c r="C41" s="4"/>
      <c r="D41" s="4"/>
      <c r="E41" s="4"/>
      <c r="F41" s="4"/>
      <c r="G41" s="4"/>
      <c r="H41" s="4"/>
      <c r="I41" s="4"/>
      <c r="J41" s="4"/>
      <c r="K41" s="5"/>
      <c r="L41" s="75"/>
      <c r="M41" s="75"/>
      <c r="N41" s="9"/>
      <c r="O41" s="75"/>
      <c r="P41" s="76"/>
      <c r="Q41" s="49"/>
    </row>
    <row r="42" spans="1:17" ht="15.75">
      <c r="A42" s="35"/>
      <c r="B42" s="5"/>
      <c r="C42" s="4"/>
      <c r="D42" s="4"/>
      <c r="E42" s="4"/>
      <c r="F42" s="4"/>
      <c r="G42" s="4"/>
      <c r="H42" s="4"/>
      <c r="I42" s="4"/>
      <c r="J42" s="4"/>
      <c r="K42" s="5"/>
      <c r="L42" s="75"/>
      <c r="M42" s="75"/>
      <c r="N42" s="9"/>
      <c r="O42" s="75"/>
      <c r="P42" s="76"/>
      <c r="Q42" s="49"/>
    </row>
    <row r="43" spans="1:17" ht="15.75">
      <c r="A43" s="35"/>
      <c r="B43" s="5"/>
      <c r="C43" s="4"/>
      <c r="D43" s="4"/>
      <c r="E43" s="4"/>
      <c r="F43" s="4"/>
      <c r="G43" s="4"/>
      <c r="H43" s="4"/>
      <c r="I43" s="4"/>
      <c r="J43" s="4"/>
      <c r="K43" s="5"/>
      <c r="L43" s="75"/>
      <c r="M43" s="75"/>
      <c r="N43" s="9"/>
      <c r="O43" s="75"/>
      <c r="P43" s="76"/>
      <c r="Q43" s="49"/>
    </row>
    <row r="44" spans="1:17" ht="20.25">
      <c r="A44" s="224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30"/>
    </row>
    <row r="45" spans="1:17" ht="21" thickBot="1">
      <c r="A45" s="183" t="s">
        <v>34</v>
      </c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29"/>
    </row>
    <row r="46" spans="1:17" ht="15.75">
      <c r="A46" s="36" t="s">
        <v>35</v>
      </c>
      <c r="B46" s="37" t="s">
        <v>36</v>
      </c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97"/>
    </row>
    <row r="47" spans="1:17" ht="15.75">
      <c r="A47" s="184" t="s">
        <v>37</v>
      </c>
      <c r="B47" s="185"/>
      <c r="C47" s="185"/>
      <c r="D47" s="185"/>
      <c r="E47" s="185"/>
      <c r="F47" s="185"/>
      <c r="G47" s="185"/>
      <c r="H47" s="185"/>
      <c r="I47" s="185"/>
      <c r="J47" s="185"/>
      <c r="K47" s="186" t="s">
        <v>38</v>
      </c>
      <c r="L47" s="185"/>
      <c r="M47" s="187"/>
      <c r="N47" s="77"/>
      <c r="O47" s="78"/>
      <c r="P47" s="79" t="s">
        <v>39</v>
      </c>
      <c r="Q47" s="98" t="s">
        <v>40</v>
      </c>
    </row>
    <row r="48" spans="1:17" ht="18">
      <c r="A48" s="39"/>
      <c r="B48" s="188" t="s">
        <v>41</v>
      </c>
      <c r="C48" s="148"/>
      <c r="D48" s="148"/>
      <c r="E48" s="148"/>
      <c r="F48" s="148"/>
      <c r="G48" s="148"/>
      <c r="H48" s="148"/>
      <c r="I48" s="148"/>
      <c r="J48" s="157"/>
      <c r="K48" s="220" t="s">
        <v>42</v>
      </c>
      <c r="L48" s="148"/>
      <c r="M48" s="157"/>
      <c r="N48" s="221" t="e">
        <f>Q38</f>
        <v>#REF!</v>
      </c>
      <c r="O48" s="121"/>
      <c r="P48" s="125"/>
      <c r="Q48" s="99"/>
    </row>
    <row r="49" spans="1:17" ht="18">
      <c r="A49" s="39"/>
      <c r="B49" s="40"/>
      <c r="C49" s="40"/>
      <c r="D49" s="40"/>
      <c r="E49" s="40"/>
      <c r="F49" s="40"/>
      <c r="G49" s="40"/>
      <c r="H49" s="40"/>
      <c r="I49" s="40"/>
      <c r="J49" s="40"/>
      <c r="K49" s="80"/>
      <c r="L49" s="81"/>
      <c r="M49" s="82"/>
      <c r="N49" s="81"/>
      <c r="O49" s="81"/>
      <c r="P49" s="83"/>
      <c r="Q49" s="99"/>
    </row>
    <row r="50" spans="1:17" ht="18.75" thickBot="1">
      <c r="A50" s="41"/>
      <c r="B50" s="172" t="s">
        <v>43</v>
      </c>
      <c r="C50" s="135"/>
      <c r="D50" s="135"/>
      <c r="E50" s="135"/>
      <c r="F50" s="135"/>
      <c r="G50" s="135"/>
      <c r="H50" s="135"/>
      <c r="I50" s="135"/>
      <c r="J50" s="135"/>
      <c r="K50" s="173" t="s">
        <v>42</v>
      </c>
      <c r="L50" s="135"/>
      <c r="M50" s="159"/>
      <c r="N50" s="84"/>
      <c r="O50" s="84"/>
      <c r="P50" s="85"/>
      <c r="Q50" s="100" t="e">
        <f>N48</f>
        <v>#REF!</v>
      </c>
    </row>
    <row r="51" spans="1:17" ht="16.5" thickBot="1">
      <c r="A51" s="42" t="s">
        <v>44</v>
      </c>
      <c r="B51" s="174" t="s">
        <v>45</v>
      </c>
      <c r="C51" s="135"/>
      <c r="D51" s="135"/>
      <c r="E51" s="135"/>
      <c r="F51" s="135"/>
      <c r="G51" s="135"/>
      <c r="H51" s="135"/>
      <c r="I51" s="135"/>
      <c r="J51" s="135"/>
      <c r="K51" s="86" t="s">
        <v>46</v>
      </c>
      <c r="L51" s="175" t="s">
        <v>47</v>
      </c>
      <c r="M51" s="135"/>
      <c r="N51" s="135"/>
      <c r="O51" s="135"/>
      <c r="P51" s="135"/>
      <c r="Q51" s="132"/>
    </row>
    <row r="52" spans="1:17" ht="18">
      <c r="A52" s="43"/>
      <c r="B52" s="44"/>
      <c r="C52" s="45" t="s">
        <v>48</v>
      </c>
      <c r="D52" s="45"/>
      <c r="E52" s="45"/>
      <c r="F52" s="45"/>
      <c r="G52" s="45"/>
      <c r="H52" s="45"/>
      <c r="I52" s="45"/>
      <c r="J52" s="45"/>
      <c r="K52" s="144" t="s">
        <v>49</v>
      </c>
      <c r="L52" s="145"/>
      <c r="M52" s="145"/>
      <c r="N52" s="145"/>
      <c r="O52" s="145"/>
      <c r="P52" s="145"/>
      <c r="Q52" s="146"/>
    </row>
    <row r="53" spans="1:17" ht="18">
      <c r="A53" s="17"/>
      <c r="B53" s="8"/>
      <c r="C53" s="46" t="s">
        <v>50</v>
      </c>
      <c r="D53" s="46"/>
      <c r="E53" s="46"/>
      <c r="F53" s="46"/>
      <c r="G53" s="46"/>
      <c r="H53" s="46"/>
      <c r="I53" s="46"/>
      <c r="J53" s="46"/>
      <c r="K53" s="147"/>
      <c r="L53" s="148"/>
      <c r="M53" s="148"/>
      <c r="N53" s="148"/>
      <c r="O53" s="148"/>
      <c r="P53" s="148"/>
      <c r="Q53" s="129"/>
    </row>
    <row r="54" spans="1:17" ht="18">
      <c r="A54" s="35"/>
      <c r="B54" s="8"/>
      <c r="C54" s="46" t="s">
        <v>51</v>
      </c>
      <c r="D54" s="46"/>
      <c r="E54" s="46"/>
      <c r="F54" s="46"/>
      <c r="G54" s="46"/>
      <c r="H54" s="46"/>
      <c r="I54" s="46"/>
      <c r="J54" s="46"/>
      <c r="K54" s="147"/>
      <c r="L54" s="148"/>
      <c r="M54" s="148"/>
      <c r="N54" s="148"/>
      <c r="O54" s="148"/>
      <c r="P54" s="148"/>
      <c r="Q54" s="129"/>
    </row>
    <row r="55" spans="1:17" ht="18.75" thickBot="1">
      <c r="A55" s="47"/>
      <c r="B55" s="12"/>
      <c r="C55" s="48" t="s">
        <v>52</v>
      </c>
      <c r="D55" s="48"/>
      <c r="E55" s="48"/>
      <c r="F55" s="48"/>
      <c r="G55" s="48"/>
      <c r="H55" s="48"/>
      <c r="I55" s="48"/>
      <c r="J55" s="48"/>
      <c r="K55" s="134"/>
      <c r="L55" s="135"/>
      <c r="M55" s="135"/>
      <c r="N55" s="135"/>
      <c r="O55" s="135"/>
      <c r="P55" s="135"/>
      <c r="Q55" s="132"/>
    </row>
    <row r="56" spans="1:17">
      <c r="A56" s="149" t="s">
        <v>53</v>
      </c>
      <c r="B56" s="145"/>
      <c r="C56" s="151"/>
      <c r="D56" s="145"/>
      <c r="E56" s="145"/>
      <c r="F56" s="145"/>
      <c r="G56" s="145"/>
      <c r="H56" s="145"/>
      <c r="I56" s="145"/>
      <c r="J56" s="145"/>
      <c r="K56" s="149" t="s">
        <v>53</v>
      </c>
      <c r="L56" s="150"/>
      <c r="M56" s="152"/>
      <c r="N56" s="145"/>
      <c r="O56" s="145"/>
      <c r="P56" s="145"/>
      <c r="Q56" s="146"/>
    </row>
    <row r="57" spans="1:17">
      <c r="A57" s="122"/>
      <c r="B57" s="123"/>
      <c r="C57" s="126"/>
      <c r="D57" s="123"/>
      <c r="E57" s="123"/>
      <c r="F57" s="123"/>
      <c r="G57" s="123"/>
      <c r="H57" s="123"/>
      <c r="I57" s="123"/>
      <c r="J57" s="123"/>
      <c r="K57" s="122"/>
      <c r="L57" s="127"/>
      <c r="M57" s="123"/>
      <c r="N57" s="123"/>
      <c r="O57" s="123"/>
      <c r="P57" s="123"/>
      <c r="Q57" s="130"/>
    </row>
    <row r="58" spans="1:17">
      <c r="A58" s="153" t="s">
        <v>54</v>
      </c>
      <c r="B58" s="121"/>
      <c r="C58" s="155"/>
      <c r="D58" s="121"/>
      <c r="E58" s="121"/>
      <c r="F58" s="121"/>
      <c r="G58" s="121"/>
      <c r="H58" s="121"/>
      <c r="I58" s="121"/>
      <c r="J58" s="121"/>
      <c r="K58" s="154" t="s">
        <v>54</v>
      </c>
      <c r="L58" s="125"/>
      <c r="M58" s="156"/>
      <c r="N58" s="121"/>
      <c r="O58" s="121"/>
      <c r="P58" s="121"/>
      <c r="Q58" s="137"/>
    </row>
    <row r="59" spans="1:17">
      <c r="A59" s="122"/>
      <c r="B59" s="123"/>
      <c r="C59" s="126"/>
      <c r="D59" s="123"/>
      <c r="E59" s="123"/>
      <c r="F59" s="123"/>
      <c r="G59" s="123"/>
      <c r="H59" s="123"/>
      <c r="I59" s="123"/>
      <c r="J59" s="123"/>
      <c r="K59" s="122"/>
      <c r="L59" s="127"/>
      <c r="M59" s="123"/>
      <c r="N59" s="123"/>
      <c r="O59" s="123"/>
      <c r="P59" s="123"/>
      <c r="Q59" s="130"/>
    </row>
    <row r="60" spans="1:17">
      <c r="A60" s="153" t="s">
        <v>55</v>
      </c>
      <c r="B60" s="121"/>
      <c r="C60" s="176" t="s">
        <v>56</v>
      </c>
      <c r="D60" s="121"/>
      <c r="E60" s="121"/>
      <c r="F60" s="121"/>
      <c r="G60" s="121"/>
      <c r="H60" s="121"/>
      <c r="I60" s="121"/>
      <c r="J60" s="137"/>
      <c r="K60" s="154" t="s">
        <v>55</v>
      </c>
      <c r="L60" s="125"/>
      <c r="M60" s="176" t="s">
        <v>57</v>
      </c>
      <c r="N60" s="121"/>
      <c r="O60" s="121"/>
      <c r="P60" s="121"/>
      <c r="Q60" s="137"/>
    </row>
    <row r="61" spans="1:17">
      <c r="A61" s="147"/>
      <c r="B61" s="148"/>
      <c r="C61" s="177" t="s">
        <v>58</v>
      </c>
      <c r="D61" s="123"/>
      <c r="E61" s="123"/>
      <c r="F61" s="123"/>
      <c r="G61" s="123"/>
      <c r="H61" s="123"/>
      <c r="I61" s="123"/>
      <c r="J61" s="123"/>
      <c r="K61" s="147"/>
      <c r="L61" s="157"/>
      <c r="M61" s="178" t="s">
        <v>59</v>
      </c>
      <c r="N61" s="123"/>
      <c r="O61" s="123"/>
      <c r="P61" s="123"/>
      <c r="Q61" s="130"/>
    </row>
    <row r="62" spans="1:17">
      <c r="A62" s="158" t="s">
        <v>60</v>
      </c>
      <c r="B62" s="121"/>
      <c r="C62" s="160"/>
      <c r="D62" s="121"/>
      <c r="E62" s="121"/>
      <c r="F62" s="121"/>
      <c r="G62" s="121"/>
      <c r="H62" s="121"/>
      <c r="I62" s="121"/>
      <c r="J62" s="121"/>
      <c r="K62" s="158" t="s">
        <v>60</v>
      </c>
      <c r="L62" s="125"/>
      <c r="M62" s="161"/>
      <c r="N62" s="121"/>
      <c r="O62" s="121"/>
      <c r="P62" s="121"/>
      <c r="Q62" s="137"/>
    </row>
    <row r="63" spans="1:17" ht="15.75" thickBot="1">
      <c r="A63" s="134"/>
      <c r="B63" s="135"/>
      <c r="C63" s="131"/>
      <c r="D63" s="135"/>
      <c r="E63" s="135"/>
      <c r="F63" s="135"/>
      <c r="G63" s="135"/>
      <c r="H63" s="135"/>
      <c r="I63" s="135"/>
      <c r="J63" s="135"/>
      <c r="K63" s="134"/>
      <c r="L63" s="159"/>
      <c r="M63" s="135"/>
      <c r="N63" s="135"/>
      <c r="O63" s="135"/>
      <c r="P63" s="135"/>
      <c r="Q63" s="132"/>
    </row>
    <row r="64" spans="1:17" ht="15.75">
      <c r="A64" s="36" t="s">
        <v>61</v>
      </c>
      <c r="B64" s="179" t="s">
        <v>62</v>
      </c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1"/>
      <c r="P64" s="87" t="s">
        <v>63</v>
      </c>
      <c r="Q64" s="101"/>
    </row>
    <row r="65" spans="1:17">
      <c r="A65" s="120" t="s">
        <v>64</v>
      </c>
      <c r="B65" s="121"/>
      <c r="C65" s="124"/>
      <c r="D65" s="121"/>
      <c r="E65" s="121"/>
      <c r="F65" s="121"/>
      <c r="G65" s="121"/>
      <c r="H65" s="121"/>
      <c r="I65" s="125"/>
      <c r="J65" s="169" t="s">
        <v>65</v>
      </c>
      <c r="K65" s="163" t="s">
        <v>66</v>
      </c>
      <c r="L65" s="121"/>
      <c r="M65" s="121"/>
      <c r="N65" s="121"/>
      <c r="O65" s="125"/>
      <c r="P65" s="128" t="s">
        <v>67</v>
      </c>
      <c r="Q65" s="129"/>
    </row>
    <row r="66" spans="1:17" ht="18">
      <c r="A66" s="122"/>
      <c r="B66" s="123"/>
      <c r="C66" s="126"/>
      <c r="D66" s="123"/>
      <c r="E66" s="123"/>
      <c r="F66" s="123"/>
      <c r="G66" s="123"/>
      <c r="H66" s="123"/>
      <c r="I66" s="127"/>
      <c r="J66" s="126"/>
      <c r="K66" s="164"/>
      <c r="L66" s="123"/>
      <c r="M66" s="123"/>
      <c r="N66" s="123"/>
      <c r="O66" s="127"/>
      <c r="P66" s="126"/>
      <c r="Q66" s="130"/>
    </row>
    <row r="67" spans="1:17" ht="15.75">
      <c r="A67" s="120" t="s">
        <v>68</v>
      </c>
      <c r="B67" s="121"/>
      <c r="C67" s="124"/>
      <c r="D67" s="121"/>
      <c r="E67" s="121"/>
      <c r="F67" s="121"/>
      <c r="G67" s="121"/>
      <c r="H67" s="121"/>
      <c r="I67" s="125"/>
      <c r="J67" s="169" t="s">
        <v>65</v>
      </c>
      <c r="K67" s="163" t="s">
        <v>69</v>
      </c>
      <c r="L67" s="121"/>
      <c r="M67" s="121"/>
      <c r="N67" s="121"/>
      <c r="O67" s="125"/>
      <c r="P67" s="14" t="s">
        <v>60</v>
      </c>
      <c r="Q67" s="114"/>
    </row>
    <row r="68" spans="1:17" ht="15.75">
      <c r="A68" s="122"/>
      <c r="B68" s="123"/>
      <c r="C68" s="126"/>
      <c r="D68" s="123"/>
      <c r="E68" s="123"/>
      <c r="F68" s="123"/>
      <c r="G68" s="123"/>
      <c r="H68" s="123"/>
      <c r="I68" s="127"/>
      <c r="J68" s="126"/>
      <c r="K68" s="165"/>
      <c r="L68" s="123"/>
      <c r="M68" s="123"/>
      <c r="N68" s="123"/>
      <c r="O68" s="127"/>
      <c r="P68" s="128" t="s">
        <v>67</v>
      </c>
      <c r="Q68" s="129"/>
    </row>
    <row r="69" spans="1:17" ht="15.75" thickBot="1">
      <c r="A69" s="166" t="s">
        <v>70</v>
      </c>
      <c r="B69" s="167"/>
      <c r="C69" s="167"/>
      <c r="D69" s="167"/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8"/>
      <c r="P69" s="131"/>
      <c r="Q69" s="132"/>
    </row>
    <row r="70" spans="1:17" ht="15.75">
      <c r="A70" s="10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/>
      <c r="Q70" s="5"/>
    </row>
    <row r="71" spans="1:17" ht="15.75">
      <c r="A71" s="10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/>
      <c r="Q71" s="5"/>
    </row>
    <row r="72" spans="1:17" ht="15.75">
      <c r="A72" s="103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104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</row>
    <row r="74" spans="1:17">
      <c r="A74" s="104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</row>
    <row r="75" spans="1:17">
      <c r="A75" s="106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</row>
    <row r="76" spans="1:17">
      <c r="A76" s="107"/>
      <c r="B76" s="108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</row>
    <row r="77" spans="1:17">
      <c r="A77" s="107"/>
      <c r="B77" s="108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</row>
    <row r="78" spans="1:17">
      <c r="A78" s="107"/>
      <c r="B78" s="108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</row>
    <row r="79" spans="1:17">
      <c r="A79" s="109"/>
      <c r="B79" s="108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</row>
    <row r="80" spans="1:17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spans="1:17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spans="1:17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spans="1:17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8" spans="1:17" ht="15.75">
      <c r="A88" s="211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6"/>
      <c r="P88" s="212" t="s">
        <v>71</v>
      </c>
      <c r="Q88" s="146"/>
    </row>
    <row r="89" spans="1:17" ht="18.7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49"/>
      <c r="P89" s="213"/>
      <c r="Q89" s="214"/>
    </row>
    <row r="90" spans="1:17" ht="15.75">
      <c r="A90" s="3"/>
      <c r="B90" s="4"/>
      <c r="C90" s="4"/>
      <c r="D90" s="215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29"/>
      <c r="P90" s="216" t="s">
        <v>72</v>
      </c>
      <c r="Q90" s="129"/>
    </row>
    <row r="91" spans="1:17" ht="18">
      <c r="A91" s="3"/>
      <c r="B91" s="6"/>
      <c r="C91" s="6"/>
      <c r="D91" s="217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29"/>
      <c r="P91" s="218"/>
      <c r="Q91" s="130"/>
    </row>
    <row r="92" spans="1:17" ht="15.75">
      <c r="A92" s="3"/>
      <c r="B92" s="4"/>
      <c r="C92" s="4"/>
      <c r="D92" s="215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29"/>
      <c r="P92" s="219" t="s">
        <v>2</v>
      </c>
      <c r="Q92" s="137"/>
    </row>
    <row r="93" spans="1:17" ht="18.75" thickBot="1">
      <c r="A93" s="3"/>
      <c r="B93" s="4"/>
      <c r="C93" s="4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0"/>
      <c r="P93" s="202"/>
      <c r="Q93" s="129"/>
    </row>
    <row r="94" spans="1:17" ht="16.5" thickBot="1">
      <c r="A94" s="203" t="s">
        <v>3</v>
      </c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51"/>
      <c r="Q94" s="88"/>
    </row>
    <row r="95" spans="1:17" ht="15.75">
      <c r="A95" s="170" t="s">
        <v>4</v>
      </c>
      <c r="B95" s="145"/>
      <c r="C95" s="20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6"/>
    </row>
    <row r="96" spans="1:17" ht="15.75">
      <c r="A96" s="147"/>
      <c r="B96" s="148"/>
      <c r="C96" s="7"/>
      <c r="D96" s="8"/>
      <c r="E96" s="9" t="s">
        <v>5</v>
      </c>
      <c r="F96" s="9"/>
      <c r="G96" s="8"/>
      <c r="H96" s="9" t="s">
        <v>6</v>
      </c>
      <c r="I96" s="9"/>
      <c r="J96" s="4"/>
      <c r="K96" s="8"/>
      <c r="L96" s="9" t="s">
        <v>7</v>
      </c>
      <c r="M96" s="9"/>
      <c r="N96" s="52" t="s">
        <v>8</v>
      </c>
      <c r="O96" s="9" t="s">
        <v>9</v>
      </c>
      <c r="P96" s="9"/>
      <c r="Q96" s="89"/>
    </row>
    <row r="97" spans="1:17" ht="16.5" thickBot="1">
      <c r="A97" s="134"/>
      <c r="B97" s="135"/>
      <c r="C97" s="10"/>
      <c r="D97" s="11"/>
      <c r="E97" s="11"/>
      <c r="F97" s="12"/>
      <c r="G97" s="12"/>
      <c r="H97" s="206"/>
      <c r="I97" s="135"/>
      <c r="J97" s="11"/>
      <c r="K97" s="206"/>
      <c r="L97" s="135"/>
      <c r="M97" s="11"/>
      <c r="N97" s="11"/>
      <c r="O97" s="12"/>
      <c r="P97" s="11"/>
      <c r="Q97" s="90"/>
    </row>
    <row r="98" spans="1:17" ht="20.25">
      <c r="A98" s="170" t="s">
        <v>10</v>
      </c>
      <c r="B98" s="145"/>
      <c r="C98" s="171" t="s">
        <v>73</v>
      </c>
      <c r="D98" s="145"/>
      <c r="E98" s="145"/>
      <c r="F98" s="145"/>
      <c r="G98" s="145"/>
      <c r="H98" s="145"/>
      <c r="I98" s="145"/>
      <c r="J98" s="145"/>
      <c r="K98" s="171" t="s">
        <v>11</v>
      </c>
      <c r="L98" s="145"/>
      <c r="M98" s="145"/>
      <c r="N98" s="145"/>
      <c r="O98" s="145"/>
      <c r="P98" s="207" t="s">
        <v>12</v>
      </c>
      <c r="Q98" s="146"/>
    </row>
    <row r="99" spans="1:17" ht="21">
      <c r="A99" s="147"/>
      <c r="B99" s="148"/>
      <c r="C99" s="126"/>
      <c r="D99" s="123"/>
      <c r="E99" s="123"/>
      <c r="F99" s="123"/>
      <c r="G99" s="123"/>
      <c r="H99" s="123"/>
      <c r="I99" s="123"/>
      <c r="J99" s="123"/>
      <c r="K99" s="208"/>
      <c r="L99" s="148"/>
      <c r="M99" s="148"/>
      <c r="N99" s="148"/>
      <c r="O99" s="148"/>
      <c r="P99" s="209"/>
      <c r="Q99" s="210"/>
    </row>
    <row r="100" spans="1:17">
      <c r="A100" s="133" t="s">
        <v>13</v>
      </c>
      <c r="B100" s="121"/>
      <c r="C100" s="136" t="s">
        <v>74</v>
      </c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37"/>
    </row>
    <row r="101" spans="1:17" ht="15.75" thickBot="1">
      <c r="A101" s="134"/>
      <c r="B101" s="135"/>
      <c r="C101" s="131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2"/>
    </row>
    <row r="102" spans="1:17" ht="15.75">
      <c r="A102" s="197" t="s">
        <v>14</v>
      </c>
      <c r="B102" s="180"/>
      <c r="C102" s="180"/>
      <c r="D102" s="180"/>
      <c r="E102" s="180"/>
      <c r="F102" s="180"/>
      <c r="G102" s="180"/>
      <c r="H102" s="180"/>
      <c r="I102" s="180"/>
      <c r="J102" s="180"/>
      <c r="K102" s="198"/>
      <c r="L102" s="181"/>
      <c r="M102" s="198" t="s">
        <v>15</v>
      </c>
      <c r="N102" s="180"/>
      <c r="O102" s="181"/>
      <c r="P102" s="198" t="s">
        <v>16</v>
      </c>
      <c r="Q102" s="199"/>
    </row>
    <row r="103" spans="1:17" ht="15.75">
      <c r="A103" s="138"/>
      <c r="B103" s="139"/>
      <c r="C103" s="139"/>
      <c r="D103" s="139"/>
      <c r="E103" s="139"/>
      <c r="F103" s="139"/>
      <c r="G103" s="139"/>
      <c r="H103" s="139"/>
      <c r="I103" s="139"/>
      <c r="J103" s="140"/>
      <c r="K103" s="53"/>
      <c r="L103" s="54"/>
      <c r="M103" s="53"/>
      <c r="N103" s="14"/>
      <c r="O103" s="55"/>
      <c r="P103" s="56"/>
      <c r="Q103" s="91"/>
    </row>
    <row r="104" spans="1:17" ht="20.25">
      <c r="A104" s="141"/>
      <c r="B104" s="142"/>
      <c r="C104" s="142"/>
      <c r="D104" s="142"/>
      <c r="E104" s="142"/>
      <c r="F104" s="142"/>
      <c r="G104" s="142"/>
      <c r="H104" s="142"/>
      <c r="I104" s="142"/>
      <c r="J104" s="143"/>
      <c r="K104" s="200" t="s">
        <v>75</v>
      </c>
      <c r="L104" s="201"/>
      <c r="M104" s="7"/>
      <c r="N104" s="4"/>
      <c r="O104" s="57" t="s">
        <v>18</v>
      </c>
      <c r="P104" s="58"/>
      <c r="Q104" s="115"/>
    </row>
    <row r="105" spans="1:17" ht="15.75">
      <c r="A105" s="141"/>
      <c r="B105" s="142"/>
      <c r="C105" s="142"/>
      <c r="D105" s="142"/>
      <c r="E105" s="142"/>
      <c r="F105" s="142"/>
      <c r="G105" s="142"/>
      <c r="H105" s="142"/>
      <c r="I105" s="142"/>
      <c r="J105" s="143"/>
      <c r="K105" s="59"/>
      <c r="L105" s="60"/>
      <c r="M105" s="7"/>
      <c r="N105" s="4"/>
      <c r="O105" s="61"/>
      <c r="P105" s="7"/>
      <c r="Q105" s="93"/>
    </row>
    <row r="106" spans="1:17" ht="15.75">
      <c r="A106" s="141"/>
      <c r="B106" s="142"/>
      <c r="C106" s="142"/>
      <c r="D106" s="142"/>
      <c r="E106" s="142"/>
      <c r="F106" s="142"/>
      <c r="G106" s="142"/>
      <c r="H106" s="142"/>
      <c r="I106" s="142"/>
      <c r="J106" s="143"/>
      <c r="K106" s="59"/>
      <c r="L106" s="60"/>
      <c r="M106" s="7"/>
      <c r="N106" s="4"/>
      <c r="O106" s="61"/>
      <c r="P106" s="62"/>
      <c r="Q106" s="93"/>
    </row>
    <row r="107" spans="1:17" ht="15.75">
      <c r="A107" s="141"/>
      <c r="B107" s="142"/>
      <c r="C107" s="142"/>
      <c r="D107" s="142"/>
      <c r="E107" s="142"/>
      <c r="F107" s="142"/>
      <c r="G107" s="142"/>
      <c r="H107" s="142"/>
      <c r="I107" s="142"/>
      <c r="J107" s="143"/>
      <c r="K107" s="59"/>
      <c r="L107" s="60"/>
      <c r="M107" s="7"/>
      <c r="N107" s="4"/>
      <c r="O107" s="61"/>
      <c r="P107" s="62"/>
      <c r="Q107" s="93"/>
    </row>
    <row r="108" spans="1:17" ht="15.75">
      <c r="A108" s="141"/>
      <c r="B108" s="142"/>
      <c r="C108" s="142"/>
      <c r="D108" s="142"/>
      <c r="E108" s="142"/>
      <c r="F108" s="142"/>
      <c r="G108" s="142"/>
      <c r="H108" s="142"/>
      <c r="I108" s="142"/>
      <c r="J108" s="143"/>
      <c r="K108" s="59"/>
      <c r="L108" s="60"/>
      <c r="M108" s="7"/>
      <c r="N108" s="4"/>
      <c r="O108" s="61"/>
      <c r="P108" s="62"/>
      <c r="Q108" s="93"/>
    </row>
    <row r="109" spans="1:17" ht="15.75">
      <c r="A109" s="141"/>
      <c r="B109" s="142"/>
      <c r="C109" s="142"/>
      <c r="D109" s="142"/>
      <c r="E109" s="142"/>
      <c r="F109" s="142"/>
      <c r="G109" s="142"/>
      <c r="H109" s="142"/>
      <c r="I109" s="142"/>
      <c r="J109" s="143"/>
      <c r="K109" s="7"/>
      <c r="L109" s="61"/>
      <c r="M109" s="7"/>
      <c r="N109" s="4"/>
      <c r="O109" s="61"/>
      <c r="P109" s="7"/>
      <c r="Q109" s="93"/>
    </row>
    <row r="110" spans="1:17" ht="15.75">
      <c r="A110" s="17"/>
      <c r="B110" s="75"/>
      <c r="C110" s="192"/>
      <c r="D110" s="148"/>
      <c r="E110" s="110"/>
      <c r="F110" s="110"/>
      <c r="G110" s="193"/>
      <c r="H110" s="148"/>
      <c r="I110" s="148"/>
      <c r="J110" s="112"/>
      <c r="K110" s="9"/>
      <c r="L110" s="60"/>
      <c r="M110" s="59"/>
      <c r="N110" s="9"/>
      <c r="O110" s="60"/>
      <c r="P110" s="65"/>
      <c r="Q110" s="93"/>
    </row>
    <row r="111" spans="1:17" ht="15.75">
      <c r="A111" s="17"/>
      <c r="B111" s="75"/>
      <c r="C111" s="192"/>
      <c r="D111" s="148"/>
      <c r="E111" s="110"/>
      <c r="F111" s="110"/>
      <c r="G111" s="193"/>
      <c r="H111" s="148"/>
      <c r="I111" s="148"/>
      <c r="J111" s="112"/>
      <c r="K111" s="9"/>
      <c r="L111" s="60"/>
      <c r="M111" s="59"/>
      <c r="N111" s="9"/>
      <c r="O111" s="60"/>
      <c r="P111" s="65"/>
      <c r="Q111" s="93"/>
    </row>
    <row r="112" spans="1:17" ht="15.75">
      <c r="A112" s="17"/>
      <c r="B112" s="75"/>
      <c r="C112" s="192"/>
      <c r="D112" s="148"/>
      <c r="E112" s="110"/>
      <c r="F112" s="110"/>
      <c r="G112" s="193"/>
      <c r="H112" s="148"/>
      <c r="I112" s="148"/>
      <c r="J112" s="112"/>
      <c r="K112" s="9"/>
      <c r="L112" s="60"/>
      <c r="M112" s="59"/>
      <c r="N112" s="9"/>
      <c r="O112" s="60"/>
      <c r="P112" s="65"/>
      <c r="Q112" s="93"/>
    </row>
    <row r="113" spans="1:17" ht="15.75">
      <c r="A113" s="17"/>
      <c r="B113" s="75"/>
      <c r="C113" s="192"/>
      <c r="D113" s="148"/>
      <c r="E113" s="110"/>
      <c r="F113" s="110"/>
      <c r="G113" s="193"/>
      <c r="H113" s="148"/>
      <c r="I113" s="148"/>
      <c r="J113" s="112"/>
      <c r="K113" s="9"/>
      <c r="L113" s="60"/>
      <c r="M113" s="59"/>
      <c r="N113" s="9"/>
      <c r="O113" s="60"/>
      <c r="P113" s="65"/>
      <c r="Q113" s="93"/>
    </row>
    <row r="114" spans="1:17" ht="15.75">
      <c r="A114" s="17"/>
      <c r="B114" s="75"/>
      <c r="C114" s="192"/>
      <c r="D114" s="148"/>
      <c r="E114" s="111"/>
      <c r="F114" s="110"/>
      <c r="G114" s="193"/>
      <c r="H114" s="148"/>
      <c r="I114" s="148"/>
      <c r="J114" s="112"/>
      <c r="K114" s="9"/>
      <c r="L114" s="60"/>
      <c r="M114" s="59"/>
      <c r="N114" s="9"/>
      <c r="O114" s="60"/>
      <c r="P114" s="65"/>
      <c r="Q114" s="93"/>
    </row>
    <row r="115" spans="1:17" ht="18.75">
      <c r="A115" s="17"/>
      <c r="B115" s="9"/>
      <c r="C115" s="188"/>
      <c r="D115" s="194"/>
      <c r="E115" s="194"/>
      <c r="F115" s="194"/>
      <c r="G115" s="194"/>
      <c r="H115" s="194"/>
      <c r="I115" s="194"/>
      <c r="J115" s="113"/>
      <c r="K115" s="67"/>
      <c r="L115" s="68"/>
      <c r="M115" s="69"/>
      <c r="N115" s="67"/>
      <c r="O115" s="68"/>
      <c r="P115" s="70"/>
      <c r="Q115" s="94"/>
    </row>
    <row r="116" spans="1:17" ht="15.75">
      <c r="A116" s="17"/>
      <c r="B116" s="9"/>
      <c r="C116" s="9"/>
      <c r="D116" s="9"/>
      <c r="E116" s="9"/>
      <c r="F116" s="32"/>
      <c r="G116" s="33"/>
      <c r="H116" s="33"/>
      <c r="I116" s="33"/>
      <c r="J116" s="33"/>
      <c r="K116" s="69"/>
      <c r="L116" s="68"/>
      <c r="M116" s="69"/>
      <c r="N116" s="67"/>
      <c r="O116" s="68"/>
      <c r="P116" s="70"/>
      <c r="Q116" s="95"/>
    </row>
    <row r="117" spans="1:17" ht="18.75" thickBot="1">
      <c r="A117" s="195" t="s">
        <v>30</v>
      </c>
      <c r="B117" s="135"/>
      <c r="C117" s="135"/>
      <c r="D117" s="135"/>
      <c r="E117" s="135"/>
      <c r="F117" s="135"/>
      <c r="G117" s="135"/>
      <c r="H117" s="135"/>
      <c r="I117" s="135"/>
      <c r="J117" s="135"/>
      <c r="K117" s="71"/>
      <c r="L117" s="72"/>
      <c r="M117" s="71"/>
      <c r="N117" s="12"/>
      <c r="O117" s="73" t="s">
        <v>18</v>
      </c>
      <c r="P117" s="74"/>
      <c r="Q117" s="116">
        <f>Q104</f>
        <v>0</v>
      </c>
    </row>
    <row r="118" spans="1:17" ht="15.75">
      <c r="A118" s="34" t="s">
        <v>31</v>
      </c>
      <c r="B118" s="196" t="s">
        <v>32</v>
      </c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29"/>
    </row>
    <row r="119" spans="1:17" ht="15.75">
      <c r="A119" s="35"/>
      <c r="B119" s="5"/>
      <c r="C119" s="4" t="s">
        <v>33</v>
      </c>
      <c r="D119" s="4"/>
      <c r="E119" s="4"/>
      <c r="F119" s="4"/>
      <c r="G119" s="4"/>
      <c r="H119" s="4"/>
      <c r="I119" s="4"/>
      <c r="J119" s="4"/>
      <c r="K119" s="5"/>
      <c r="L119" s="75"/>
      <c r="M119" s="75"/>
      <c r="N119" s="9"/>
      <c r="O119" s="75"/>
      <c r="P119" s="76"/>
      <c r="Q119" s="49"/>
    </row>
    <row r="120" spans="1:17" ht="15.75">
      <c r="A120" s="35"/>
      <c r="B120" s="5"/>
      <c r="C120" s="4"/>
      <c r="D120" s="4"/>
      <c r="E120" s="4"/>
      <c r="F120" s="4"/>
      <c r="G120" s="4"/>
      <c r="H120" s="4"/>
      <c r="I120" s="4"/>
      <c r="J120" s="4"/>
      <c r="K120" s="5"/>
      <c r="L120" s="75"/>
      <c r="M120" s="75"/>
      <c r="N120" s="9"/>
      <c r="O120" s="75"/>
      <c r="P120" s="76"/>
      <c r="Q120" s="49"/>
    </row>
    <row r="121" spans="1:17" ht="15.75">
      <c r="A121" s="35"/>
      <c r="B121" s="5"/>
      <c r="C121" s="4"/>
      <c r="D121" s="4"/>
      <c r="E121" s="4"/>
      <c r="F121" s="4"/>
      <c r="G121" s="4"/>
      <c r="H121" s="4"/>
      <c r="I121" s="4"/>
      <c r="J121" s="4"/>
      <c r="K121" s="5"/>
      <c r="L121" s="75"/>
      <c r="M121" s="75"/>
      <c r="N121" s="9"/>
      <c r="O121" s="75"/>
      <c r="P121" s="76"/>
      <c r="Q121" s="49"/>
    </row>
    <row r="122" spans="1:17" ht="15.75">
      <c r="A122" s="35"/>
      <c r="B122" s="5"/>
      <c r="C122" s="4"/>
      <c r="D122" s="4"/>
      <c r="E122" s="4"/>
      <c r="F122" s="4"/>
      <c r="G122" s="4"/>
      <c r="H122" s="4"/>
      <c r="I122" s="4"/>
      <c r="J122" s="4"/>
      <c r="K122" s="5"/>
      <c r="L122" s="75"/>
      <c r="M122" s="75"/>
      <c r="N122" s="9"/>
      <c r="O122" s="75"/>
      <c r="P122" s="76"/>
      <c r="Q122" s="49"/>
    </row>
    <row r="123" spans="1:17" ht="20.25">
      <c r="A123" s="182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29"/>
    </row>
    <row r="124" spans="1:17" ht="21" thickBot="1">
      <c r="A124" s="183" t="s">
        <v>34</v>
      </c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29"/>
    </row>
    <row r="125" spans="1:17" ht="15.75">
      <c r="A125" s="36" t="s">
        <v>35</v>
      </c>
      <c r="B125" s="37" t="s">
        <v>36</v>
      </c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97"/>
    </row>
    <row r="126" spans="1:17" ht="15.75">
      <c r="A126" s="184" t="s">
        <v>37</v>
      </c>
      <c r="B126" s="185"/>
      <c r="C126" s="185"/>
      <c r="D126" s="185"/>
      <c r="E126" s="185"/>
      <c r="F126" s="185"/>
      <c r="G126" s="185"/>
      <c r="H126" s="185"/>
      <c r="I126" s="185"/>
      <c r="J126" s="185"/>
      <c r="K126" s="186" t="s">
        <v>38</v>
      </c>
      <c r="L126" s="185"/>
      <c r="M126" s="187"/>
      <c r="N126" s="77"/>
      <c r="O126" s="78"/>
      <c r="P126" s="79" t="s">
        <v>39</v>
      </c>
      <c r="Q126" s="98" t="s">
        <v>40</v>
      </c>
    </row>
    <row r="127" spans="1:17" ht="18">
      <c r="A127" s="39"/>
      <c r="B127" s="188" t="s">
        <v>76</v>
      </c>
      <c r="C127" s="188"/>
      <c r="D127" s="188"/>
      <c r="E127" s="188"/>
      <c r="F127" s="188"/>
      <c r="G127" s="188"/>
      <c r="H127" s="188"/>
      <c r="I127" s="188"/>
      <c r="J127" s="188"/>
      <c r="K127" s="189" t="s">
        <v>77</v>
      </c>
      <c r="L127" s="190"/>
      <c r="M127" s="191"/>
      <c r="N127" s="190"/>
      <c r="O127" s="190"/>
      <c r="P127" s="191"/>
      <c r="Q127" s="99"/>
    </row>
    <row r="128" spans="1:17" ht="18">
      <c r="A128" s="39"/>
      <c r="B128" s="188" t="s">
        <v>76</v>
      </c>
      <c r="C128" s="188"/>
      <c r="D128" s="188"/>
      <c r="E128" s="188"/>
      <c r="F128" s="188"/>
      <c r="G128" s="188"/>
      <c r="H128" s="188"/>
      <c r="I128" s="188"/>
      <c r="J128" s="188"/>
      <c r="K128" s="189" t="s">
        <v>77</v>
      </c>
      <c r="L128" s="190"/>
      <c r="M128" s="191"/>
      <c r="N128" s="190"/>
      <c r="O128" s="190"/>
      <c r="P128" s="191"/>
      <c r="Q128" s="99"/>
    </row>
    <row r="129" spans="1:17" ht="18.75" thickBot="1">
      <c r="A129" s="41"/>
      <c r="B129" s="172" t="s">
        <v>43</v>
      </c>
      <c r="C129" s="135"/>
      <c r="D129" s="135"/>
      <c r="E129" s="135"/>
      <c r="F129" s="135"/>
      <c r="G129" s="135"/>
      <c r="H129" s="135"/>
      <c r="I129" s="135"/>
      <c r="J129" s="135"/>
      <c r="K129" s="173" t="s">
        <v>42</v>
      </c>
      <c r="L129" s="135"/>
      <c r="M129" s="159"/>
      <c r="N129" s="84"/>
      <c r="O129" s="84"/>
      <c r="P129" s="85"/>
      <c r="Q129" s="100"/>
    </row>
    <row r="130" spans="1:17" ht="16.5" thickBot="1">
      <c r="A130" s="42" t="s">
        <v>44</v>
      </c>
      <c r="B130" s="174" t="s">
        <v>45</v>
      </c>
      <c r="C130" s="135"/>
      <c r="D130" s="135"/>
      <c r="E130" s="135"/>
      <c r="F130" s="135"/>
      <c r="G130" s="135"/>
      <c r="H130" s="135"/>
      <c r="I130" s="135"/>
      <c r="J130" s="135"/>
      <c r="K130" s="86" t="s">
        <v>46</v>
      </c>
      <c r="L130" s="175" t="s">
        <v>47</v>
      </c>
      <c r="M130" s="135"/>
      <c r="N130" s="135"/>
      <c r="O130" s="135"/>
      <c r="P130" s="135"/>
      <c r="Q130" s="132"/>
    </row>
    <row r="131" spans="1:17" ht="18">
      <c r="A131" s="43"/>
      <c r="B131" s="44"/>
      <c r="C131" s="45" t="s">
        <v>48</v>
      </c>
      <c r="D131" s="45"/>
      <c r="E131" s="45"/>
      <c r="F131" s="45"/>
      <c r="G131" s="45"/>
      <c r="H131" s="45"/>
      <c r="I131" s="45"/>
      <c r="J131" s="45"/>
      <c r="K131" s="144"/>
      <c r="L131" s="145"/>
      <c r="M131" s="145"/>
      <c r="N131" s="145"/>
      <c r="O131" s="145"/>
      <c r="P131" s="145"/>
      <c r="Q131" s="146"/>
    </row>
    <row r="132" spans="1:17" ht="18">
      <c r="A132" s="17"/>
      <c r="B132" s="8"/>
      <c r="C132" s="46" t="s">
        <v>50</v>
      </c>
      <c r="D132" s="46"/>
      <c r="E132" s="46"/>
      <c r="F132" s="46"/>
      <c r="G132" s="46"/>
      <c r="H132" s="46"/>
      <c r="I132" s="46"/>
      <c r="J132" s="46"/>
      <c r="K132" s="147"/>
      <c r="L132" s="148"/>
      <c r="M132" s="148"/>
      <c r="N132" s="148"/>
      <c r="O132" s="148"/>
      <c r="P132" s="148"/>
      <c r="Q132" s="129"/>
    </row>
    <row r="133" spans="1:17" ht="18">
      <c r="A133" s="35"/>
      <c r="B133" s="8"/>
      <c r="C133" s="46" t="s">
        <v>51</v>
      </c>
      <c r="D133" s="46"/>
      <c r="E133" s="46"/>
      <c r="F133" s="46"/>
      <c r="G133" s="46"/>
      <c r="H133" s="46"/>
      <c r="I133" s="46"/>
      <c r="J133" s="46"/>
      <c r="K133" s="147"/>
      <c r="L133" s="148"/>
      <c r="M133" s="148"/>
      <c r="N133" s="148"/>
      <c r="O133" s="148"/>
      <c r="P133" s="148"/>
      <c r="Q133" s="129"/>
    </row>
    <row r="134" spans="1:17" ht="18.75" thickBot="1">
      <c r="A134" s="47"/>
      <c r="B134" s="12"/>
      <c r="C134" s="48" t="s">
        <v>52</v>
      </c>
      <c r="D134" s="48"/>
      <c r="E134" s="48"/>
      <c r="F134" s="48"/>
      <c r="G134" s="48"/>
      <c r="H134" s="48"/>
      <c r="I134" s="48"/>
      <c r="J134" s="48"/>
      <c r="K134" s="134"/>
      <c r="L134" s="135"/>
      <c r="M134" s="135"/>
      <c r="N134" s="135"/>
      <c r="O134" s="135"/>
      <c r="P134" s="135"/>
      <c r="Q134" s="132"/>
    </row>
    <row r="135" spans="1:17">
      <c r="A135" s="149" t="s">
        <v>53</v>
      </c>
      <c r="B135" s="145"/>
      <c r="C135" s="151"/>
      <c r="D135" s="145"/>
      <c r="E135" s="145"/>
      <c r="F135" s="145"/>
      <c r="G135" s="145"/>
      <c r="H135" s="145"/>
      <c r="I135" s="145"/>
      <c r="J135" s="145"/>
      <c r="K135" s="149" t="s">
        <v>53</v>
      </c>
      <c r="L135" s="150"/>
      <c r="M135" s="152"/>
      <c r="N135" s="145"/>
      <c r="O135" s="145"/>
      <c r="P135" s="145"/>
      <c r="Q135" s="146"/>
    </row>
    <row r="136" spans="1:17">
      <c r="A136" s="122"/>
      <c r="B136" s="123"/>
      <c r="C136" s="126"/>
      <c r="D136" s="123"/>
      <c r="E136" s="123"/>
      <c r="F136" s="123"/>
      <c r="G136" s="123"/>
      <c r="H136" s="123"/>
      <c r="I136" s="123"/>
      <c r="J136" s="123"/>
      <c r="K136" s="122"/>
      <c r="L136" s="127"/>
      <c r="M136" s="123"/>
      <c r="N136" s="123"/>
      <c r="O136" s="123"/>
      <c r="P136" s="123"/>
      <c r="Q136" s="130"/>
    </row>
    <row r="137" spans="1:17">
      <c r="A137" s="153" t="s">
        <v>54</v>
      </c>
      <c r="B137" s="121"/>
      <c r="C137" s="155"/>
      <c r="D137" s="121"/>
      <c r="E137" s="121"/>
      <c r="F137" s="121"/>
      <c r="G137" s="121"/>
      <c r="H137" s="121"/>
      <c r="I137" s="121"/>
      <c r="J137" s="121"/>
      <c r="K137" s="154" t="s">
        <v>54</v>
      </c>
      <c r="L137" s="125"/>
      <c r="M137" s="156"/>
      <c r="N137" s="121"/>
      <c r="O137" s="121"/>
      <c r="P137" s="121"/>
      <c r="Q137" s="137"/>
    </row>
    <row r="138" spans="1:17">
      <c r="A138" s="122"/>
      <c r="B138" s="123"/>
      <c r="C138" s="126"/>
      <c r="D138" s="123"/>
      <c r="E138" s="123"/>
      <c r="F138" s="123"/>
      <c r="G138" s="123"/>
      <c r="H138" s="123"/>
      <c r="I138" s="123"/>
      <c r="J138" s="123"/>
      <c r="K138" s="122"/>
      <c r="L138" s="127"/>
      <c r="M138" s="123"/>
      <c r="N138" s="123"/>
      <c r="O138" s="123"/>
      <c r="P138" s="123"/>
      <c r="Q138" s="130"/>
    </row>
    <row r="139" spans="1:17">
      <c r="A139" s="153" t="s">
        <v>55</v>
      </c>
      <c r="B139" s="121"/>
      <c r="C139" s="176" t="s">
        <v>56</v>
      </c>
      <c r="D139" s="121"/>
      <c r="E139" s="121"/>
      <c r="F139" s="121"/>
      <c r="G139" s="121"/>
      <c r="H139" s="121"/>
      <c r="I139" s="121"/>
      <c r="J139" s="137"/>
      <c r="K139" s="154" t="s">
        <v>55</v>
      </c>
      <c r="L139" s="125"/>
      <c r="M139" s="176" t="s">
        <v>57</v>
      </c>
      <c r="N139" s="121"/>
      <c r="O139" s="121"/>
      <c r="P139" s="121"/>
      <c r="Q139" s="137"/>
    </row>
    <row r="140" spans="1:17">
      <c r="A140" s="147"/>
      <c r="B140" s="148"/>
      <c r="C140" s="177" t="s">
        <v>58</v>
      </c>
      <c r="D140" s="123"/>
      <c r="E140" s="123"/>
      <c r="F140" s="123"/>
      <c r="G140" s="123"/>
      <c r="H140" s="123"/>
      <c r="I140" s="123"/>
      <c r="J140" s="123"/>
      <c r="K140" s="147"/>
      <c r="L140" s="157"/>
      <c r="M140" s="178" t="s">
        <v>59</v>
      </c>
      <c r="N140" s="123"/>
      <c r="O140" s="123"/>
      <c r="P140" s="123"/>
      <c r="Q140" s="130"/>
    </row>
    <row r="141" spans="1:17">
      <c r="A141" s="158" t="s">
        <v>60</v>
      </c>
      <c r="B141" s="121"/>
      <c r="C141" s="160"/>
      <c r="D141" s="121"/>
      <c r="E141" s="121"/>
      <c r="F141" s="121"/>
      <c r="G141" s="121"/>
      <c r="H141" s="121"/>
      <c r="I141" s="121"/>
      <c r="J141" s="121"/>
      <c r="K141" s="158" t="s">
        <v>60</v>
      </c>
      <c r="L141" s="125"/>
      <c r="M141" s="161"/>
      <c r="N141" s="121"/>
      <c r="O141" s="121"/>
      <c r="P141" s="121"/>
      <c r="Q141" s="137"/>
    </row>
    <row r="142" spans="1:17" ht="15.75" thickBot="1">
      <c r="A142" s="134"/>
      <c r="B142" s="135"/>
      <c r="C142" s="131"/>
      <c r="D142" s="135"/>
      <c r="E142" s="135"/>
      <c r="F142" s="135"/>
      <c r="G142" s="135"/>
      <c r="H142" s="135"/>
      <c r="I142" s="135"/>
      <c r="J142" s="135"/>
      <c r="K142" s="134"/>
      <c r="L142" s="159"/>
      <c r="M142" s="135"/>
      <c r="N142" s="135"/>
      <c r="O142" s="135"/>
      <c r="P142" s="135"/>
      <c r="Q142" s="132"/>
    </row>
    <row r="143" spans="1:17" ht="15.75">
      <c r="A143" s="36" t="s">
        <v>61</v>
      </c>
      <c r="B143" s="179" t="s">
        <v>62</v>
      </c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1"/>
      <c r="P143" s="87" t="s">
        <v>63</v>
      </c>
      <c r="Q143" s="101"/>
    </row>
    <row r="144" spans="1:17">
      <c r="A144" s="120" t="s">
        <v>64</v>
      </c>
      <c r="B144" s="121"/>
      <c r="C144" s="124" t="s">
        <v>78</v>
      </c>
      <c r="D144" s="121"/>
      <c r="E144" s="121"/>
      <c r="F144" s="121"/>
      <c r="G144" s="121"/>
      <c r="H144" s="121"/>
      <c r="I144" s="125"/>
      <c r="J144" s="169" t="s">
        <v>65</v>
      </c>
      <c r="K144" s="163" t="s">
        <v>66</v>
      </c>
      <c r="L144" s="121"/>
      <c r="M144" s="121"/>
      <c r="N144" s="121"/>
      <c r="O144" s="125"/>
      <c r="P144" s="128" t="s">
        <v>67</v>
      </c>
      <c r="Q144" s="129"/>
    </row>
    <row r="145" spans="1:17" ht="18">
      <c r="A145" s="122"/>
      <c r="B145" s="123"/>
      <c r="C145" s="126"/>
      <c r="D145" s="123"/>
      <c r="E145" s="123"/>
      <c r="F145" s="123"/>
      <c r="G145" s="123"/>
      <c r="H145" s="123"/>
      <c r="I145" s="127"/>
      <c r="J145" s="126"/>
      <c r="K145" s="164"/>
      <c r="L145" s="123"/>
      <c r="M145" s="123"/>
      <c r="N145" s="123"/>
      <c r="O145" s="127"/>
      <c r="P145" s="126"/>
      <c r="Q145" s="130"/>
    </row>
    <row r="146" spans="1:17" ht="15.75">
      <c r="A146" s="120" t="s">
        <v>68</v>
      </c>
      <c r="B146" s="121"/>
      <c r="C146" s="124"/>
      <c r="D146" s="121"/>
      <c r="E146" s="121"/>
      <c r="F146" s="121"/>
      <c r="G146" s="121"/>
      <c r="H146" s="121"/>
      <c r="I146" s="125"/>
      <c r="J146" s="169" t="s">
        <v>65</v>
      </c>
      <c r="K146" s="163" t="s">
        <v>69</v>
      </c>
      <c r="L146" s="121"/>
      <c r="M146" s="121"/>
      <c r="N146" s="121"/>
      <c r="O146" s="125"/>
      <c r="P146" s="14" t="s">
        <v>60</v>
      </c>
      <c r="Q146" s="114"/>
    </row>
    <row r="147" spans="1:17" ht="15.75">
      <c r="A147" s="122"/>
      <c r="B147" s="123"/>
      <c r="C147" s="126"/>
      <c r="D147" s="123"/>
      <c r="E147" s="123"/>
      <c r="F147" s="123"/>
      <c r="G147" s="123"/>
      <c r="H147" s="123"/>
      <c r="I147" s="127"/>
      <c r="J147" s="126"/>
      <c r="K147" s="165"/>
      <c r="L147" s="123"/>
      <c r="M147" s="123"/>
      <c r="N147" s="123"/>
      <c r="O147" s="127"/>
      <c r="P147" s="128" t="s">
        <v>67</v>
      </c>
      <c r="Q147" s="129"/>
    </row>
    <row r="148" spans="1:17" ht="15.75" thickBot="1">
      <c r="A148" s="166" t="s">
        <v>70</v>
      </c>
      <c r="B148" s="167"/>
      <c r="C148" s="167"/>
      <c r="D148" s="167"/>
      <c r="E148" s="167"/>
      <c r="F148" s="167"/>
      <c r="G148" s="167"/>
      <c r="H148" s="167"/>
      <c r="I148" s="167"/>
      <c r="J148" s="167"/>
      <c r="K148" s="167"/>
      <c r="L148" s="167"/>
      <c r="M148" s="167"/>
      <c r="N148" s="167"/>
      <c r="O148" s="168"/>
      <c r="P148" s="131"/>
      <c r="Q148" s="132"/>
    </row>
    <row r="149" spans="1:17" ht="15.75">
      <c r="A149" s="10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5"/>
      <c r="Q149" s="5"/>
    </row>
    <row r="150" spans="1:17" ht="15.75">
      <c r="A150" s="10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5"/>
      <c r="Q150" s="5"/>
    </row>
    <row r="151" spans="1:17" ht="15.75">
      <c r="A151" s="10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5"/>
      <c r="Q151" s="5"/>
    </row>
    <row r="152" spans="1:17" ht="15.75">
      <c r="A152" s="10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5"/>
      <c r="Q152" s="5"/>
    </row>
    <row r="153" spans="1:17" ht="15.75">
      <c r="A153" s="103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104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</row>
    <row r="155" spans="1:17">
      <c r="A155" s="104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</row>
    <row r="156" spans="1:17">
      <c r="A156" s="106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</row>
    <row r="157" spans="1:17">
      <c r="A157" s="107"/>
      <c r="B157" s="108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</row>
    <row r="158" spans="1:17">
      <c r="A158" s="107"/>
      <c r="B158" s="108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</row>
    <row r="159" spans="1:17">
      <c r="A159" s="107"/>
      <c r="B159" s="108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</row>
    <row r="160" spans="1:17">
      <c r="A160" s="109"/>
      <c r="B160" s="108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</row>
    <row r="161" spans="1:17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spans="1:17" ht="15" customHeight="1" thickBot="1"/>
    <row r="163" spans="1:17" ht="15.75" hidden="1" thickBot="1"/>
    <row r="164" spans="1:17">
      <c r="A164" s="230"/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  <c r="M164" s="231"/>
      <c r="N164" s="231"/>
      <c r="O164" s="232"/>
      <c r="P164" s="233"/>
      <c r="Q164" s="234"/>
    </row>
    <row r="165" spans="1:17" ht="18">
      <c r="A165" s="235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236"/>
      <c r="P165" s="237"/>
      <c r="Q165" s="238"/>
    </row>
    <row r="166" spans="1:17" ht="18">
      <c r="A166" s="235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236"/>
      <c r="P166" s="237"/>
      <c r="Q166" s="238"/>
    </row>
    <row r="167" spans="1:17" ht="21.75" customHeight="1">
      <c r="A167" s="235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236"/>
      <c r="P167" s="237"/>
      <c r="Q167" s="238"/>
    </row>
    <row r="168" spans="1:17" ht="23.25" thickBot="1">
      <c r="A168" s="239"/>
      <c r="B168" s="240"/>
      <c r="C168" s="240"/>
      <c r="D168" s="241" t="s">
        <v>79</v>
      </c>
      <c r="E168" s="242"/>
      <c r="F168" s="242"/>
      <c r="G168" s="242"/>
      <c r="H168" s="242"/>
      <c r="I168" s="242"/>
      <c r="J168" s="242"/>
      <c r="K168" s="242"/>
      <c r="L168" s="242"/>
      <c r="M168" s="242"/>
      <c r="N168" s="242"/>
      <c r="O168" s="243"/>
      <c r="P168" s="244"/>
      <c r="Q168" s="245"/>
    </row>
    <row r="169" spans="1:17">
      <c r="A169" s="246" t="s">
        <v>10</v>
      </c>
      <c r="B169" s="247"/>
      <c r="C169" s="247"/>
      <c r="D169" s="248"/>
      <c r="E169" s="249"/>
      <c r="F169" s="249"/>
      <c r="G169" s="249"/>
      <c r="H169" s="249"/>
      <c r="I169" s="249"/>
      <c r="J169" s="249"/>
      <c r="K169" s="249"/>
      <c r="L169" s="249"/>
      <c r="M169" s="249"/>
      <c r="N169" s="249"/>
      <c r="O169" s="249"/>
      <c r="P169" s="249"/>
      <c r="Q169" s="250"/>
    </row>
    <row r="170" spans="1:17">
      <c r="A170" s="251"/>
      <c r="B170" s="252"/>
      <c r="C170" s="252"/>
      <c r="D170" s="253"/>
      <c r="E170" s="254"/>
      <c r="F170" s="254"/>
      <c r="G170" s="254"/>
      <c r="H170" s="254"/>
      <c r="I170" s="254"/>
      <c r="J170" s="254"/>
      <c r="K170" s="254"/>
      <c r="L170" s="254"/>
      <c r="M170" s="254"/>
      <c r="N170" s="254"/>
      <c r="O170" s="254"/>
      <c r="P170" s="254"/>
      <c r="Q170" s="255"/>
    </row>
    <row r="171" spans="1:17">
      <c r="A171" s="256" t="s">
        <v>80</v>
      </c>
      <c r="B171" s="257"/>
      <c r="C171" s="257"/>
      <c r="D171" s="258"/>
      <c r="E171" s="259"/>
      <c r="F171" s="259"/>
      <c r="G171" s="259"/>
      <c r="H171" s="259"/>
      <c r="I171" s="259"/>
      <c r="J171" s="259"/>
      <c r="K171" s="259"/>
      <c r="L171" s="259"/>
      <c r="M171" s="259"/>
      <c r="N171" s="259"/>
      <c r="O171" s="259"/>
      <c r="P171" s="259"/>
      <c r="Q171" s="238"/>
    </row>
    <row r="172" spans="1:17">
      <c r="A172" s="251"/>
      <c r="B172" s="252"/>
      <c r="C172" s="252"/>
      <c r="D172" s="253"/>
      <c r="E172" s="254"/>
      <c r="F172" s="254"/>
      <c r="G172" s="254"/>
      <c r="H172" s="254"/>
      <c r="I172" s="254"/>
      <c r="J172" s="254"/>
      <c r="K172" s="254"/>
      <c r="L172" s="254"/>
      <c r="M172" s="254"/>
      <c r="N172" s="254"/>
      <c r="O172" s="254"/>
      <c r="P172" s="254"/>
      <c r="Q172" s="255"/>
    </row>
    <row r="173" spans="1:17">
      <c r="A173" s="256" t="s">
        <v>13</v>
      </c>
      <c r="B173" s="257"/>
      <c r="C173" s="257"/>
      <c r="D173" s="258"/>
      <c r="E173" s="259"/>
      <c r="F173" s="259"/>
      <c r="G173" s="259"/>
      <c r="H173" s="259"/>
      <c r="I173" s="259"/>
      <c r="J173" s="259"/>
      <c r="K173" s="259"/>
      <c r="L173" s="259"/>
      <c r="M173" s="259"/>
      <c r="N173" s="259"/>
      <c r="O173" s="259"/>
      <c r="P173" s="259"/>
      <c r="Q173" s="238"/>
    </row>
    <row r="174" spans="1:17" ht="15.75" thickBot="1">
      <c r="A174" s="260"/>
      <c r="B174" s="261"/>
      <c r="C174" s="261"/>
      <c r="D174" s="262"/>
      <c r="E174" s="263"/>
      <c r="F174" s="263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4"/>
    </row>
    <row r="175" spans="1:17" ht="15.75" thickTop="1">
      <c r="A175" s="256" t="s">
        <v>81</v>
      </c>
      <c r="B175" s="257"/>
      <c r="C175" s="257"/>
      <c r="D175" s="265" t="s">
        <v>14</v>
      </c>
      <c r="E175" s="257"/>
      <c r="F175" s="257"/>
      <c r="G175" s="257"/>
      <c r="H175" s="257"/>
      <c r="I175" s="257"/>
      <c r="J175" s="257"/>
      <c r="K175" s="257"/>
      <c r="L175" s="265" t="s">
        <v>15</v>
      </c>
      <c r="M175" s="257"/>
      <c r="N175" s="265" t="s">
        <v>38</v>
      </c>
      <c r="O175" s="257"/>
      <c r="P175" s="265" t="s">
        <v>16</v>
      </c>
      <c r="Q175" s="245"/>
    </row>
    <row r="176" spans="1:17">
      <c r="A176" s="251"/>
      <c r="B176" s="252"/>
      <c r="C176" s="252"/>
      <c r="D176" s="266"/>
      <c r="E176" s="252"/>
      <c r="F176" s="252"/>
      <c r="G176" s="252"/>
      <c r="H176" s="252"/>
      <c r="I176" s="252"/>
      <c r="J176" s="252"/>
      <c r="K176" s="252"/>
      <c r="L176" s="266"/>
      <c r="M176" s="252"/>
      <c r="N176" s="266"/>
      <c r="O176" s="252"/>
      <c r="P176" s="266"/>
      <c r="Q176" s="267"/>
    </row>
    <row r="177" spans="1:17">
      <c r="A177" s="235"/>
      <c r="B177" s="18"/>
      <c r="C177" s="18"/>
      <c r="D177" s="268"/>
      <c r="E177" s="18"/>
      <c r="F177" s="18"/>
      <c r="G177" s="18"/>
      <c r="H177" s="18"/>
      <c r="I177" s="18"/>
      <c r="J177" s="18"/>
      <c r="K177" s="18"/>
      <c r="L177" s="268"/>
      <c r="M177" s="18"/>
      <c r="N177" s="268"/>
      <c r="O177" s="18"/>
      <c r="P177" s="268"/>
      <c r="Q177" s="236"/>
    </row>
    <row r="178" spans="1:17" ht="18">
      <c r="A178" s="256"/>
      <c r="B178" s="269"/>
      <c r="C178" s="269"/>
      <c r="D178" s="270"/>
      <c r="E178" s="142"/>
      <c r="F178" s="142"/>
      <c r="G178" s="142"/>
      <c r="H178" s="142"/>
      <c r="I178" s="142"/>
      <c r="J178" s="142"/>
      <c r="K178" s="142"/>
      <c r="L178" s="271"/>
      <c r="M178" s="257"/>
      <c r="N178" s="271"/>
      <c r="O178" s="257"/>
      <c r="P178" s="272"/>
      <c r="Q178" s="273"/>
    </row>
    <row r="179" spans="1:17">
      <c r="A179" s="256"/>
      <c r="B179" s="269"/>
      <c r="C179" s="269"/>
      <c r="D179" s="270"/>
      <c r="E179" s="142"/>
      <c r="F179" s="142"/>
      <c r="G179" s="142"/>
      <c r="H179" s="142"/>
      <c r="I179" s="142"/>
      <c r="J179" s="142"/>
      <c r="K179" s="142"/>
      <c r="L179" s="268"/>
      <c r="M179" s="18"/>
      <c r="N179" s="268"/>
      <c r="O179" s="18"/>
      <c r="P179" s="268"/>
      <c r="Q179" s="236"/>
    </row>
    <row r="180" spans="1:17">
      <c r="A180" s="256"/>
      <c r="B180" s="269"/>
      <c r="C180" s="269"/>
      <c r="D180" s="270"/>
      <c r="E180" s="142"/>
      <c r="F180" s="142"/>
      <c r="G180" s="142"/>
      <c r="H180" s="142"/>
      <c r="I180" s="142"/>
      <c r="J180" s="142"/>
      <c r="K180" s="142"/>
      <c r="L180" s="268"/>
      <c r="M180" s="18"/>
      <c r="N180" s="268"/>
      <c r="O180" s="18"/>
      <c r="P180" s="268"/>
      <c r="Q180" s="236"/>
    </row>
    <row r="181" spans="1:17">
      <c r="A181" s="256"/>
      <c r="B181" s="269"/>
      <c r="C181" s="269"/>
      <c r="D181" s="270"/>
      <c r="E181" s="142"/>
      <c r="F181" s="142"/>
      <c r="G181" s="142"/>
      <c r="H181" s="142"/>
      <c r="I181" s="142"/>
      <c r="J181" s="142"/>
      <c r="K181" s="142"/>
      <c r="L181" s="268"/>
      <c r="M181" s="18"/>
      <c r="N181" s="268"/>
      <c r="O181" s="18"/>
      <c r="P181" s="268"/>
      <c r="Q181" s="236"/>
    </row>
    <row r="182" spans="1:17">
      <c r="A182" s="256"/>
      <c r="B182" s="269"/>
      <c r="C182" s="269"/>
      <c r="D182" s="270"/>
      <c r="E182" s="142"/>
      <c r="F182" s="142"/>
      <c r="G182" s="142"/>
      <c r="H182" s="142"/>
      <c r="I182" s="142"/>
      <c r="J182" s="142"/>
      <c r="K182" s="142"/>
      <c r="L182" s="268"/>
      <c r="M182" s="18"/>
      <c r="N182" s="268"/>
      <c r="O182" s="18"/>
      <c r="P182" s="268"/>
      <c r="Q182" s="236"/>
    </row>
    <row r="183" spans="1:17">
      <c r="A183" s="256"/>
      <c r="B183" s="269"/>
      <c r="C183" s="269"/>
      <c r="D183" s="270"/>
      <c r="E183" s="142"/>
      <c r="F183" s="142"/>
      <c r="G183" s="142"/>
      <c r="H183" s="142"/>
      <c r="I183" s="142"/>
      <c r="J183" s="142"/>
      <c r="K183" s="142"/>
      <c r="L183" s="268"/>
      <c r="M183" s="18"/>
      <c r="N183" s="268"/>
      <c r="O183" s="18"/>
      <c r="P183" s="268"/>
      <c r="Q183" s="236"/>
    </row>
    <row r="184" spans="1:17">
      <c r="A184" s="256"/>
      <c r="B184" s="269"/>
      <c r="C184" s="269"/>
      <c r="D184" s="270"/>
      <c r="E184" s="142"/>
      <c r="F184" s="142"/>
      <c r="G184" s="142"/>
      <c r="H184" s="142"/>
      <c r="I184" s="142"/>
      <c r="J184" s="142"/>
      <c r="K184" s="142"/>
      <c r="L184" s="268"/>
      <c r="M184" s="18"/>
      <c r="N184" s="268"/>
      <c r="O184" s="18"/>
      <c r="P184" s="268"/>
      <c r="Q184" s="236"/>
    </row>
    <row r="185" spans="1:17">
      <c r="A185" s="256"/>
      <c r="B185" s="269"/>
      <c r="C185" s="269"/>
      <c r="D185" s="270"/>
      <c r="E185" s="142"/>
      <c r="F185" s="142"/>
      <c r="G185" s="142"/>
      <c r="H185" s="142"/>
      <c r="I185" s="142"/>
      <c r="J185" s="142"/>
      <c r="K185" s="142"/>
      <c r="L185" s="268"/>
      <c r="M185" s="18"/>
      <c r="N185" s="268"/>
      <c r="O185" s="18"/>
      <c r="P185" s="268"/>
      <c r="Q185" s="236"/>
    </row>
    <row r="186" spans="1:17">
      <c r="A186" s="235"/>
      <c r="B186" s="18"/>
      <c r="C186" s="18"/>
      <c r="D186" s="268"/>
      <c r="E186" s="18"/>
      <c r="F186" s="18"/>
      <c r="G186" s="18"/>
      <c r="H186" s="18"/>
      <c r="I186" s="18"/>
      <c r="J186" s="18"/>
      <c r="K186" s="18"/>
      <c r="L186" s="268"/>
      <c r="M186" s="18"/>
      <c r="N186" s="268"/>
      <c r="O186" s="18"/>
      <c r="P186" s="268"/>
      <c r="Q186" s="236"/>
    </row>
    <row r="187" spans="1:17">
      <c r="A187" s="235"/>
      <c r="B187" s="18"/>
      <c r="C187" s="18"/>
      <c r="D187" s="268"/>
      <c r="E187" s="18"/>
      <c r="F187" s="18"/>
      <c r="G187" s="18"/>
      <c r="H187" s="18"/>
      <c r="I187" s="18"/>
      <c r="J187" s="18"/>
      <c r="K187" s="18"/>
      <c r="L187" s="268"/>
      <c r="M187" s="18"/>
      <c r="N187" s="268"/>
      <c r="O187" s="18"/>
      <c r="P187" s="268"/>
      <c r="Q187" s="236"/>
    </row>
    <row r="188" spans="1:17">
      <c r="A188" s="235"/>
      <c r="B188" s="18"/>
      <c r="C188" s="18"/>
      <c r="D188" s="268"/>
      <c r="E188" s="18"/>
      <c r="F188" s="18"/>
      <c r="G188" s="18"/>
      <c r="H188" s="18"/>
      <c r="I188" s="18"/>
      <c r="J188" s="18"/>
      <c r="K188" s="18"/>
      <c r="L188" s="268"/>
      <c r="M188" s="18"/>
      <c r="N188" s="268"/>
      <c r="O188" s="18"/>
      <c r="P188" s="268"/>
      <c r="Q188" s="236"/>
    </row>
    <row r="189" spans="1:17">
      <c r="A189" s="235"/>
      <c r="B189" s="18"/>
      <c r="C189" s="18"/>
      <c r="D189" s="268"/>
      <c r="E189" s="18"/>
      <c r="F189" s="18"/>
      <c r="G189" s="18"/>
      <c r="H189" s="18"/>
      <c r="I189" s="18"/>
      <c r="J189" s="18"/>
      <c r="K189" s="18"/>
      <c r="L189" s="268"/>
      <c r="M189" s="18"/>
      <c r="N189" s="268"/>
      <c r="O189" s="18"/>
      <c r="P189" s="268"/>
      <c r="Q189" s="236"/>
    </row>
    <row r="190" spans="1:17">
      <c r="A190" s="235"/>
      <c r="B190" s="18"/>
      <c r="C190" s="18"/>
      <c r="D190" s="268"/>
      <c r="E190" s="18"/>
      <c r="F190" s="18"/>
      <c r="G190" s="18"/>
      <c r="H190" s="18"/>
      <c r="I190" s="18"/>
      <c r="J190" s="18"/>
      <c r="K190" s="18"/>
      <c r="L190" s="268"/>
      <c r="M190" s="18"/>
      <c r="N190" s="268"/>
      <c r="O190" s="18"/>
      <c r="P190" s="268"/>
      <c r="Q190" s="236"/>
    </row>
    <row r="191" spans="1:17">
      <c r="A191" s="235"/>
      <c r="B191" s="18"/>
      <c r="C191" s="18"/>
      <c r="D191" s="268"/>
      <c r="E191" s="18"/>
      <c r="F191" s="18"/>
      <c r="G191" s="18"/>
      <c r="H191" s="18"/>
      <c r="I191" s="18"/>
      <c r="J191" s="18"/>
      <c r="K191" s="18"/>
      <c r="L191" s="268"/>
      <c r="M191" s="18"/>
      <c r="N191" s="268"/>
      <c r="O191" s="18"/>
      <c r="P191" s="274"/>
      <c r="Q191" s="275"/>
    </row>
    <row r="192" spans="1:17" ht="18.75" thickBot="1">
      <c r="A192" s="239"/>
      <c r="B192" s="240"/>
      <c r="C192" s="240"/>
      <c r="D192" s="276"/>
      <c r="E192" s="240"/>
      <c r="F192" s="240"/>
      <c r="G192" s="240"/>
      <c r="H192" s="240"/>
      <c r="I192" s="240"/>
      <c r="J192" s="277" t="s">
        <v>82</v>
      </c>
      <c r="K192" s="278"/>
      <c r="L192" s="276"/>
      <c r="M192" s="240"/>
      <c r="N192" s="276"/>
      <c r="O192" s="240"/>
      <c r="P192" s="279"/>
      <c r="Q192" s="280"/>
    </row>
    <row r="193" spans="1:17">
      <c r="A193" s="281" t="s">
        <v>31</v>
      </c>
      <c r="B193" s="247"/>
      <c r="C193" s="282"/>
      <c r="D193" s="231"/>
      <c r="E193" s="231"/>
      <c r="F193" s="231"/>
      <c r="G193" s="231"/>
      <c r="H193" s="231"/>
      <c r="I193" s="231"/>
      <c r="J193" s="231"/>
      <c r="K193" s="232"/>
      <c r="L193" s="246" t="s">
        <v>35</v>
      </c>
      <c r="M193" s="283"/>
      <c r="N193" s="231"/>
      <c r="O193" s="231"/>
      <c r="P193" s="231"/>
      <c r="Q193" s="232"/>
    </row>
    <row r="194" spans="1:17" ht="18">
      <c r="A194" s="266"/>
      <c r="B194" s="252"/>
      <c r="C194" s="265" t="s">
        <v>45</v>
      </c>
      <c r="D194" s="257"/>
      <c r="E194" s="284" t="s">
        <v>83</v>
      </c>
      <c r="F194" s="257"/>
      <c r="G194" s="257"/>
      <c r="H194" s="257"/>
      <c r="I194" s="257"/>
      <c r="J194" s="257"/>
      <c r="K194" s="245"/>
      <c r="L194" s="251"/>
      <c r="M194" s="285"/>
      <c r="N194" s="269" t="s">
        <v>45</v>
      </c>
      <c r="O194" s="257"/>
      <c r="P194" s="286" t="s">
        <v>84</v>
      </c>
      <c r="Q194" s="287"/>
    </row>
    <row r="195" spans="1:17" ht="18">
      <c r="A195" s="235"/>
      <c r="B195" s="18"/>
      <c r="C195" s="18"/>
      <c r="D195" s="284" t="s">
        <v>85</v>
      </c>
      <c r="E195" s="257"/>
      <c r="F195" s="257"/>
      <c r="G195" s="257"/>
      <c r="H195" s="257"/>
      <c r="I195" s="257"/>
      <c r="J195" s="257"/>
      <c r="K195" s="245"/>
      <c r="L195" s="235"/>
      <c r="M195" s="18"/>
      <c r="N195" s="286" t="s">
        <v>86</v>
      </c>
      <c r="O195" s="223"/>
      <c r="P195" s="223"/>
      <c r="Q195" s="287"/>
    </row>
    <row r="196" spans="1:17" ht="18">
      <c r="A196" s="235"/>
      <c r="B196" s="18"/>
      <c r="C196" s="18"/>
      <c r="D196" s="286" t="s">
        <v>87</v>
      </c>
      <c r="E196" s="223"/>
      <c r="F196" s="223"/>
      <c r="G196" s="223"/>
      <c r="H196" s="223"/>
      <c r="I196" s="223"/>
      <c r="J196" s="223"/>
      <c r="K196" s="287"/>
      <c r="L196" s="235"/>
      <c r="M196" s="18"/>
      <c r="N196" s="286" t="s">
        <v>88</v>
      </c>
      <c r="O196" s="223"/>
      <c r="P196" s="223"/>
      <c r="Q196" s="287"/>
    </row>
    <row r="197" spans="1:17">
      <c r="A197" s="235"/>
      <c r="B197" s="18"/>
      <c r="C197" s="18"/>
      <c r="D197" s="18"/>
      <c r="E197" s="18"/>
      <c r="F197" s="18"/>
      <c r="G197" s="18"/>
      <c r="H197" s="18"/>
      <c r="I197" s="18"/>
      <c r="J197" s="18"/>
      <c r="K197" s="236"/>
      <c r="L197" s="235"/>
      <c r="M197" s="18"/>
      <c r="N197" s="18"/>
      <c r="O197" s="18"/>
      <c r="P197" s="18"/>
      <c r="Q197" s="236"/>
    </row>
    <row r="198" spans="1:17">
      <c r="A198" s="235"/>
      <c r="B198" s="18"/>
      <c r="C198" s="18"/>
      <c r="D198" s="18"/>
      <c r="E198" s="18"/>
      <c r="F198" s="18"/>
      <c r="G198" s="18"/>
      <c r="H198" s="18"/>
      <c r="I198" s="18"/>
      <c r="J198" s="18"/>
      <c r="K198" s="236"/>
      <c r="L198" s="235"/>
      <c r="M198" s="18"/>
      <c r="N198" s="18"/>
      <c r="O198" s="18"/>
      <c r="P198" s="18"/>
      <c r="Q198" s="236"/>
    </row>
    <row r="199" spans="1:17">
      <c r="A199" s="235"/>
      <c r="B199" s="18"/>
      <c r="C199" s="18"/>
      <c r="D199" s="18"/>
      <c r="E199" s="18"/>
      <c r="F199" s="18"/>
      <c r="G199" s="18"/>
      <c r="H199" s="18"/>
      <c r="I199" s="18"/>
      <c r="J199" s="18"/>
      <c r="K199" s="236"/>
      <c r="L199" s="235"/>
      <c r="M199" s="18"/>
      <c r="N199" s="18"/>
      <c r="O199" s="18"/>
      <c r="P199" s="18"/>
      <c r="Q199" s="236"/>
    </row>
    <row r="200" spans="1:17" ht="18">
      <c r="A200" s="288" t="s">
        <v>89</v>
      </c>
      <c r="B200" s="286"/>
      <c r="C200" s="18"/>
      <c r="D200" s="18"/>
      <c r="E200" s="18"/>
      <c r="F200" s="18"/>
      <c r="G200" s="18"/>
      <c r="H200" s="18"/>
      <c r="I200" s="18"/>
      <c r="J200" s="18"/>
      <c r="K200" s="236"/>
      <c r="L200" s="288" t="s">
        <v>89</v>
      </c>
      <c r="M200" s="286"/>
      <c r="N200" s="18"/>
      <c r="O200" s="257"/>
      <c r="P200" s="257"/>
      <c r="Q200" s="245"/>
    </row>
    <row r="201" spans="1:17" ht="18">
      <c r="A201" s="288" t="s">
        <v>90</v>
      </c>
      <c r="B201" s="286"/>
      <c r="C201" s="18"/>
      <c r="D201" s="18"/>
      <c r="E201" s="289" t="s">
        <v>91</v>
      </c>
      <c r="F201" s="290"/>
      <c r="G201" s="290"/>
      <c r="H201" s="290"/>
      <c r="I201" s="290"/>
      <c r="J201" s="290"/>
      <c r="K201" s="291"/>
      <c r="L201" s="288" t="s">
        <v>90</v>
      </c>
      <c r="M201" s="286"/>
      <c r="N201" s="18"/>
      <c r="O201" s="289" t="s">
        <v>92</v>
      </c>
      <c r="P201" s="290"/>
      <c r="Q201" s="291"/>
    </row>
    <row r="202" spans="1:17" ht="18">
      <c r="A202" s="288" t="s">
        <v>93</v>
      </c>
      <c r="B202" s="286"/>
      <c r="C202" s="18"/>
      <c r="D202" s="18"/>
      <c r="E202" s="284" t="s">
        <v>94</v>
      </c>
      <c r="F202" s="284"/>
      <c r="G202" s="284"/>
      <c r="H202" s="284"/>
      <c r="I202" s="284"/>
      <c r="J202" s="284"/>
      <c r="K202" s="284"/>
      <c r="L202" s="288" t="s">
        <v>93</v>
      </c>
      <c r="M202" s="286"/>
      <c r="N202" s="18"/>
      <c r="O202" s="284" t="s">
        <v>95</v>
      </c>
      <c r="P202" s="284"/>
      <c r="Q202" s="292"/>
    </row>
    <row r="203" spans="1:17" ht="18">
      <c r="A203" s="288" t="s">
        <v>96</v>
      </c>
      <c r="B203" s="223"/>
      <c r="C203" s="18"/>
      <c r="D203" s="18"/>
      <c r="E203" s="18"/>
      <c r="F203" s="18"/>
      <c r="G203" s="18"/>
      <c r="H203" s="18"/>
      <c r="I203" s="18"/>
      <c r="J203" s="18"/>
      <c r="K203" s="236"/>
      <c r="L203" s="288" t="s">
        <v>96</v>
      </c>
      <c r="M203" s="223"/>
      <c r="N203" s="18"/>
      <c r="O203" s="18"/>
      <c r="P203" s="293" t="s">
        <v>97</v>
      </c>
      <c r="Q203" s="294" t="s">
        <v>98</v>
      </c>
    </row>
    <row r="204" spans="1:17" ht="15.75" thickBot="1">
      <c r="A204" s="239"/>
      <c r="B204" s="240"/>
      <c r="C204" s="240"/>
      <c r="D204" s="240"/>
      <c r="E204" s="240"/>
      <c r="F204" s="240"/>
      <c r="G204" s="240"/>
      <c r="H204" s="240"/>
      <c r="I204" s="240"/>
      <c r="J204" s="240"/>
      <c r="K204" s="295"/>
      <c r="L204" s="239"/>
      <c r="M204" s="240"/>
      <c r="N204" s="240"/>
      <c r="O204" s="240"/>
      <c r="P204" s="240"/>
      <c r="Q204" s="295"/>
    </row>
    <row r="205" spans="1:17" ht="18.75" thickBot="1">
      <c r="A205" s="296" t="s">
        <v>44</v>
      </c>
      <c r="B205" s="297"/>
      <c r="C205" s="298"/>
      <c r="D205" s="299" t="s">
        <v>99</v>
      </c>
      <c r="E205" s="300"/>
      <c r="F205" s="300"/>
      <c r="G205" s="300"/>
      <c r="H205" s="300"/>
      <c r="I205" s="300"/>
      <c r="J205" s="300"/>
      <c r="K205" s="300"/>
      <c r="L205" s="300"/>
      <c r="M205" s="300"/>
      <c r="N205" s="300"/>
      <c r="O205" s="300"/>
      <c r="P205" s="300"/>
      <c r="Q205" s="301"/>
    </row>
    <row r="206" spans="1:17" ht="18.75" thickBot="1">
      <c r="A206" s="302" t="s">
        <v>100</v>
      </c>
      <c r="B206" s="300"/>
      <c r="C206" s="300"/>
      <c r="D206" s="300"/>
      <c r="E206" s="300"/>
      <c r="F206" s="300"/>
      <c r="G206" s="300"/>
      <c r="H206" s="300"/>
      <c r="I206" s="301"/>
      <c r="J206" s="302" t="s">
        <v>16</v>
      </c>
      <c r="K206" s="300"/>
      <c r="L206" s="300"/>
      <c r="M206" s="300"/>
      <c r="N206" s="300"/>
      <c r="O206" s="300"/>
      <c r="P206" s="300"/>
      <c r="Q206" s="301"/>
    </row>
    <row r="207" spans="1:17" ht="18">
      <c r="A207" s="303" t="s">
        <v>60</v>
      </c>
      <c r="B207" s="247"/>
      <c r="C207" s="283"/>
      <c r="D207" s="304" t="s">
        <v>14</v>
      </c>
      <c r="E207" s="247"/>
      <c r="F207" s="283"/>
      <c r="G207" s="305" t="s">
        <v>101</v>
      </c>
      <c r="H207" s="306"/>
      <c r="I207" s="307"/>
      <c r="J207" s="304" t="s">
        <v>102</v>
      </c>
      <c r="K207" s="283"/>
      <c r="L207" s="304" t="s">
        <v>103</v>
      </c>
      <c r="M207" s="283"/>
      <c r="N207" s="304" t="s">
        <v>104</v>
      </c>
      <c r="O207" s="283"/>
      <c r="P207" s="308" t="s">
        <v>105</v>
      </c>
      <c r="Q207" s="309"/>
    </row>
    <row r="208" spans="1:17" ht="18">
      <c r="A208" s="244"/>
      <c r="B208" s="257"/>
      <c r="C208" s="310"/>
      <c r="D208" s="257"/>
      <c r="E208" s="257"/>
      <c r="F208" s="310"/>
      <c r="G208" s="311"/>
      <c r="H208" s="311"/>
      <c r="I208" s="312"/>
      <c r="J208" s="257"/>
      <c r="K208" s="310"/>
      <c r="L208" s="257"/>
      <c r="M208" s="310"/>
      <c r="N208" s="257"/>
      <c r="O208" s="310"/>
      <c r="P208" s="313" t="s">
        <v>106</v>
      </c>
      <c r="Q208" s="314" t="s">
        <v>107</v>
      </c>
    </row>
    <row r="209" spans="1:17" ht="18.75" thickBot="1">
      <c r="A209" s="315"/>
      <c r="B209" s="278"/>
      <c r="C209" s="316"/>
      <c r="D209" s="278"/>
      <c r="E209" s="278"/>
      <c r="F209" s="316"/>
      <c r="G209" s="317"/>
      <c r="H209" s="317"/>
      <c r="I209" s="318"/>
      <c r="J209" s="319" t="s">
        <v>108</v>
      </c>
      <c r="K209" s="316"/>
      <c r="L209" s="319" t="s">
        <v>109</v>
      </c>
      <c r="M209" s="316"/>
      <c r="N209" s="319" t="s">
        <v>110</v>
      </c>
      <c r="O209" s="316"/>
      <c r="P209" s="320" t="s">
        <v>111</v>
      </c>
      <c r="Q209" s="321" t="s">
        <v>112</v>
      </c>
    </row>
    <row r="210" spans="1:17" ht="18">
      <c r="A210" s="322" t="s">
        <v>67</v>
      </c>
      <c r="B210" s="323"/>
      <c r="C210" s="324"/>
      <c r="D210" s="323" t="s">
        <v>67</v>
      </c>
      <c r="E210" s="323"/>
      <c r="F210" s="324"/>
      <c r="G210" s="323" t="s">
        <v>67</v>
      </c>
      <c r="H210" s="323"/>
      <c r="I210" s="324"/>
      <c r="J210" s="323" t="s">
        <v>67</v>
      </c>
      <c r="K210" s="324"/>
      <c r="L210" s="323" t="s">
        <v>67</v>
      </c>
      <c r="M210" s="324"/>
      <c r="N210" s="323" t="s">
        <v>67</v>
      </c>
      <c r="O210" s="324"/>
      <c r="P210" s="325" t="s">
        <v>67</v>
      </c>
      <c r="Q210" s="326" t="s">
        <v>67</v>
      </c>
    </row>
    <row r="211" spans="1:17">
      <c r="A211" s="327"/>
      <c r="B211" s="328"/>
      <c r="C211" s="329"/>
      <c r="D211" s="330"/>
      <c r="E211" s="328"/>
      <c r="F211" s="329"/>
      <c r="G211" s="328"/>
      <c r="H211" s="328"/>
      <c r="I211" s="329"/>
      <c r="J211" s="328"/>
      <c r="K211" s="329"/>
      <c r="L211" s="328"/>
      <c r="M211" s="329"/>
      <c r="N211" s="328"/>
      <c r="O211" s="329"/>
      <c r="P211" s="329"/>
      <c r="Q211" s="331"/>
    </row>
    <row r="212" spans="1:17">
      <c r="A212" s="327"/>
      <c r="B212" s="328"/>
      <c r="C212" s="329"/>
      <c r="D212" s="328"/>
      <c r="E212" s="328"/>
      <c r="F212" s="329"/>
      <c r="G212" s="328"/>
      <c r="H212" s="328"/>
      <c r="I212" s="329"/>
      <c r="J212" s="328"/>
      <c r="K212" s="329"/>
      <c r="L212" s="328"/>
      <c r="M212" s="329"/>
      <c r="N212" s="328"/>
      <c r="O212" s="329"/>
      <c r="P212" s="329"/>
      <c r="Q212" s="331"/>
    </row>
    <row r="213" spans="1:17">
      <c r="A213" s="332"/>
      <c r="B213" s="328"/>
      <c r="C213" s="329"/>
      <c r="D213" s="328"/>
      <c r="E213" s="328"/>
      <c r="F213" s="329"/>
      <c r="G213" s="328"/>
      <c r="H213" s="328"/>
      <c r="I213" s="329"/>
      <c r="J213" s="328"/>
      <c r="K213" s="329"/>
      <c r="L213" s="328"/>
      <c r="M213" s="329"/>
      <c r="N213" s="328"/>
      <c r="O213" s="329"/>
      <c r="P213" s="329"/>
      <c r="Q213" s="331"/>
    </row>
    <row r="214" spans="1:17">
      <c r="A214" s="332"/>
      <c r="B214" s="328"/>
      <c r="C214" s="329"/>
      <c r="D214" s="328"/>
      <c r="E214" s="328"/>
      <c r="F214" s="329"/>
      <c r="G214" s="328"/>
      <c r="H214" s="328"/>
      <c r="I214" s="329"/>
      <c r="J214" s="328"/>
      <c r="K214" s="329"/>
      <c r="L214" s="328"/>
      <c r="M214" s="329"/>
      <c r="N214" s="328"/>
      <c r="O214" s="329"/>
      <c r="P214" s="329"/>
      <c r="Q214" s="331"/>
    </row>
    <row r="215" spans="1:17">
      <c r="A215" s="332"/>
      <c r="B215" s="328"/>
      <c r="C215" s="329"/>
      <c r="D215" s="328"/>
      <c r="E215" s="328"/>
      <c r="F215" s="329"/>
      <c r="G215" s="328"/>
      <c r="H215" s="328"/>
      <c r="I215" s="329"/>
      <c r="J215" s="328"/>
      <c r="K215" s="329"/>
      <c r="L215" s="328"/>
      <c r="M215" s="329"/>
      <c r="N215" s="328"/>
      <c r="O215" s="329"/>
      <c r="P215" s="329"/>
      <c r="Q215" s="331"/>
    </row>
    <row r="216" spans="1:17">
      <c r="A216" s="332"/>
      <c r="B216" s="328"/>
      <c r="C216" s="329"/>
      <c r="D216" s="328"/>
      <c r="E216" s="328"/>
      <c r="F216" s="329"/>
      <c r="G216" s="328"/>
      <c r="H216" s="328"/>
      <c r="I216" s="329"/>
      <c r="J216" s="328"/>
      <c r="K216" s="329"/>
      <c r="L216" s="328"/>
      <c r="M216" s="329"/>
      <c r="N216" s="328"/>
      <c r="O216" s="329"/>
      <c r="P216" s="329"/>
      <c r="Q216" s="331"/>
    </row>
    <row r="217" spans="1:17">
      <c r="A217" s="332"/>
      <c r="B217" s="328"/>
      <c r="C217" s="329"/>
      <c r="D217" s="328"/>
      <c r="E217" s="328"/>
      <c r="F217" s="329"/>
      <c r="G217" s="328"/>
      <c r="H217" s="328"/>
      <c r="I217" s="329"/>
      <c r="J217" s="328"/>
      <c r="K217" s="329"/>
      <c r="L217" s="328"/>
      <c r="M217" s="329"/>
      <c r="N217" s="328"/>
      <c r="O217" s="329"/>
      <c r="P217" s="329"/>
      <c r="Q217" s="331"/>
    </row>
    <row r="218" spans="1:17">
      <c r="A218" s="332"/>
      <c r="B218" s="328"/>
      <c r="C218" s="329"/>
      <c r="D218" s="328"/>
      <c r="E218" s="328"/>
      <c r="F218" s="329"/>
      <c r="G218" s="328"/>
      <c r="H218" s="328"/>
      <c r="I218" s="329"/>
      <c r="J218" s="328"/>
      <c r="K218" s="329"/>
      <c r="L218" s="328"/>
      <c r="M218" s="329"/>
      <c r="N218" s="328"/>
      <c r="O218" s="329"/>
      <c r="P218" s="329"/>
      <c r="Q218" s="331"/>
    </row>
    <row r="219" spans="1:17">
      <c r="A219" s="332"/>
      <c r="B219" s="328"/>
      <c r="C219" s="329"/>
      <c r="D219" s="328"/>
      <c r="E219" s="328"/>
      <c r="F219" s="329"/>
      <c r="G219" s="328"/>
      <c r="H219" s="328"/>
      <c r="I219" s="329"/>
      <c r="J219" s="328"/>
      <c r="K219" s="329"/>
      <c r="L219" s="328"/>
      <c r="M219" s="329"/>
      <c r="N219" s="328"/>
      <c r="O219" s="329"/>
      <c r="P219" s="329"/>
      <c r="Q219" s="331"/>
    </row>
    <row r="220" spans="1:17" ht="15.75" thickBot="1">
      <c r="A220" s="239"/>
      <c r="B220" s="240"/>
      <c r="C220" s="333"/>
      <c r="D220" s="240"/>
      <c r="E220" s="240"/>
      <c r="F220" s="333"/>
      <c r="G220" s="240"/>
      <c r="H220" s="240"/>
      <c r="I220" s="333"/>
      <c r="J220" s="240"/>
      <c r="K220" s="333"/>
      <c r="L220" s="240"/>
      <c r="M220" s="333"/>
      <c r="N220" s="240"/>
      <c r="O220" s="333"/>
      <c r="P220" s="333"/>
      <c r="Q220" s="295"/>
    </row>
  </sheetData>
  <mergeCells count="242">
    <mergeCell ref="N209:O209"/>
    <mergeCell ref="A210:C210"/>
    <mergeCell ref="D210:F210"/>
    <mergeCell ref="G210:I210"/>
    <mergeCell ref="J210:K210"/>
    <mergeCell ref="L210:M210"/>
    <mergeCell ref="N210:O210"/>
    <mergeCell ref="J206:Q206"/>
    <mergeCell ref="A207:C209"/>
    <mergeCell ref="D207:F209"/>
    <mergeCell ref="G207:I209"/>
    <mergeCell ref="J207:K208"/>
    <mergeCell ref="L207:M208"/>
    <mergeCell ref="N207:O208"/>
    <mergeCell ref="P207:Q207"/>
    <mergeCell ref="J209:K209"/>
    <mergeCell ref="L209:M209"/>
    <mergeCell ref="A202:B202"/>
    <mergeCell ref="E202:K202"/>
    <mergeCell ref="L202:M202"/>
    <mergeCell ref="O202:Q202"/>
    <mergeCell ref="A203:B203"/>
    <mergeCell ref="L203:M203"/>
    <mergeCell ref="D196:K196"/>
    <mergeCell ref="N196:Q196"/>
    <mergeCell ref="A200:B200"/>
    <mergeCell ref="L200:M200"/>
    <mergeCell ref="O200:Q200"/>
    <mergeCell ref="A201:B201"/>
    <mergeCell ref="E201:K201"/>
    <mergeCell ref="L201:M201"/>
    <mergeCell ref="O201:Q201"/>
    <mergeCell ref="L193:M194"/>
    <mergeCell ref="C194:D194"/>
    <mergeCell ref="E194:K194"/>
    <mergeCell ref="N194:O194"/>
    <mergeCell ref="P194:Q194"/>
    <mergeCell ref="D195:K195"/>
    <mergeCell ref="N195:Q195"/>
    <mergeCell ref="A173:C174"/>
    <mergeCell ref="D173:Q174"/>
    <mergeCell ref="A175:C176"/>
    <mergeCell ref="D175:K176"/>
    <mergeCell ref="L175:M176"/>
    <mergeCell ref="N175:O176"/>
    <mergeCell ref="P175:Q176"/>
    <mergeCell ref="P164:Q164"/>
    <mergeCell ref="P165:Q165"/>
    <mergeCell ref="P166:Q166"/>
    <mergeCell ref="P167:Q167"/>
    <mergeCell ref="A169:C170"/>
    <mergeCell ref="D169:Q170"/>
    <mergeCell ref="A171:C172"/>
    <mergeCell ref="D171:Q172"/>
    <mergeCell ref="A206:I206"/>
    <mergeCell ref="A205:C205"/>
    <mergeCell ref="D205:Q205"/>
    <mergeCell ref="J192:K192"/>
    <mergeCell ref="P192:Q192"/>
    <mergeCell ref="A193:B194"/>
    <mergeCell ref="A178:C185"/>
    <mergeCell ref="D178:K185"/>
    <mergeCell ref="L178:M178"/>
    <mergeCell ref="N178:O178"/>
    <mergeCell ref="P178:Q178"/>
    <mergeCell ref="D168:O168"/>
    <mergeCell ref="P168:Q168"/>
    <mergeCell ref="P147:Q148"/>
    <mergeCell ref="A148:O148"/>
    <mergeCell ref="K145:O145"/>
    <mergeCell ref="A146:B147"/>
    <mergeCell ref="C146:I147"/>
    <mergeCell ref="J146:J147"/>
    <mergeCell ref="K146:O146"/>
    <mergeCell ref="K147:O147"/>
    <mergeCell ref="A141:B142"/>
    <mergeCell ref="C141:J142"/>
    <mergeCell ref="K141:L142"/>
    <mergeCell ref="M141:Q142"/>
    <mergeCell ref="B143:O143"/>
    <mergeCell ref="A144:B145"/>
    <mergeCell ref="C144:I145"/>
    <mergeCell ref="J144:J145"/>
    <mergeCell ref="K144:O144"/>
    <mergeCell ref="P144:Q145"/>
    <mergeCell ref="A137:B138"/>
    <mergeCell ref="C137:J138"/>
    <mergeCell ref="K137:L138"/>
    <mergeCell ref="M137:Q138"/>
    <mergeCell ref="A139:B140"/>
    <mergeCell ref="C139:J139"/>
    <mergeCell ref="K139:L140"/>
    <mergeCell ref="M139:Q139"/>
    <mergeCell ref="C140:J140"/>
    <mergeCell ref="M140:Q140"/>
    <mergeCell ref="B129:J129"/>
    <mergeCell ref="K129:M129"/>
    <mergeCell ref="B130:J130"/>
    <mergeCell ref="L130:Q130"/>
    <mergeCell ref="K131:Q134"/>
    <mergeCell ref="A135:B136"/>
    <mergeCell ref="C135:J136"/>
    <mergeCell ref="K135:L136"/>
    <mergeCell ref="M135:Q136"/>
    <mergeCell ref="B127:J127"/>
    <mergeCell ref="K127:M127"/>
    <mergeCell ref="N127:P127"/>
    <mergeCell ref="B128:J128"/>
    <mergeCell ref="K128:M128"/>
    <mergeCell ref="N128:P128"/>
    <mergeCell ref="C115:I115"/>
    <mergeCell ref="A117:J117"/>
    <mergeCell ref="B118:Q118"/>
    <mergeCell ref="A123:Q123"/>
    <mergeCell ref="A124:Q124"/>
    <mergeCell ref="A126:J126"/>
    <mergeCell ref="K126:M126"/>
    <mergeCell ref="C112:D112"/>
    <mergeCell ref="G112:I112"/>
    <mergeCell ref="C113:D113"/>
    <mergeCell ref="G113:I113"/>
    <mergeCell ref="C114:D114"/>
    <mergeCell ref="G114:I114"/>
    <mergeCell ref="A103:J109"/>
    <mergeCell ref="K104:L104"/>
    <mergeCell ref="C110:D110"/>
    <mergeCell ref="G110:I110"/>
    <mergeCell ref="C111:D111"/>
    <mergeCell ref="G111:I111"/>
    <mergeCell ref="A100:B101"/>
    <mergeCell ref="C100:Q101"/>
    <mergeCell ref="A102:J102"/>
    <mergeCell ref="K102:L102"/>
    <mergeCell ref="M102:O102"/>
    <mergeCell ref="P102:Q102"/>
    <mergeCell ref="A95:B97"/>
    <mergeCell ref="C95:Q95"/>
    <mergeCell ref="H97:I97"/>
    <mergeCell ref="K97:L97"/>
    <mergeCell ref="A98:B99"/>
    <mergeCell ref="C98:J99"/>
    <mergeCell ref="K98:O98"/>
    <mergeCell ref="P98:Q98"/>
    <mergeCell ref="K99:O99"/>
    <mergeCell ref="P99:Q99"/>
    <mergeCell ref="D91:O91"/>
    <mergeCell ref="P91:Q91"/>
    <mergeCell ref="D92:O92"/>
    <mergeCell ref="P92:Q92"/>
    <mergeCell ref="P93:Q93"/>
    <mergeCell ref="A94:O94"/>
    <mergeCell ref="P68:Q69"/>
    <mergeCell ref="A69:O69"/>
    <mergeCell ref="A88:O88"/>
    <mergeCell ref="P88:Q88"/>
    <mergeCell ref="P89:Q89"/>
    <mergeCell ref="D90:O90"/>
    <mergeCell ref="P90:Q90"/>
    <mergeCell ref="K66:O66"/>
    <mergeCell ref="A67:B68"/>
    <mergeCell ref="C67:I68"/>
    <mergeCell ref="J67:J68"/>
    <mergeCell ref="K67:O67"/>
    <mergeCell ref="K68:O68"/>
    <mergeCell ref="A62:B63"/>
    <mergeCell ref="C62:J63"/>
    <mergeCell ref="K62:L63"/>
    <mergeCell ref="M62:Q63"/>
    <mergeCell ref="B64:O64"/>
    <mergeCell ref="A65:B66"/>
    <mergeCell ref="C65:I66"/>
    <mergeCell ref="J65:J66"/>
    <mergeCell ref="K65:O65"/>
    <mergeCell ref="P65:Q66"/>
    <mergeCell ref="A58:B59"/>
    <mergeCell ref="C58:J59"/>
    <mergeCell ref="K58:L59"/>
    <mergeCell ref="M58:Q59"/>
    <mergeCell ref="A60:B61"/>
    <mergeCell ref="C60:J60"/>
    <mergeCell ref="K60:L61"/>
    <mergeCell ref="M60:Q60"/>
    <mergeCell ref="C61:J61"/>
    <mergeCell ref="M61:Q61"/>
    <mergeCell ref="B50:J50"/>
    <mergeCell ref="K50:M50"/>
    <mergeCell ref="B51:J51"/>
    <mergeCell ref="L51:Q51"/>
    <mergeCell ref="K52:Q55"/>
    <mergeCell ref="A56:B57"/>
    <mergeCell ref="C56:J57"/>
    <mergeCell ref="K56:L57"/>
    <mergeCell ref="M56:Q57"/>
    <mergeCell ref="A44:Q44"/>
    <mergeCell ref="A45:Q45"/>
    <mergeCell ref="A47:J47"/>
    <mergeCell ref="K47:M47"/>
    <mergeCell ref="B48:J48"/>
    <mergeCell ref="K48:M48"/>
    <mergeCell ref="N48:P48"/>
    <mergeCell ref="C24:E24"/>
    <mergeCell ref="F24:G24"/>
    <mergeCell ref="C25:E25"/>
    <mergeCell ref="F25:G25"/>
    <mergeCell ref="A38:J38"/>
    <mergeCell ref="B39:Q39"/>
    <mergeCell ref="D34:E34"/>
    <mergeCell ref="D35:E35"/>
    <mergeCell ref="D36:E36"/>
    <mergeCell ref="B17:J20"/>
    <mergeCell ref="K17:L17"/>
    <mergeCell ref="C22:D22"/>
    <mergeCell ref="G22:I22"/>
    <mergeCell ref="C23:E23"/>
    <mergeCell ref="F23:G23"/>
    <mergeCell ref="A13:B14"/>
    <mergeCell ref="C13:Q14"/>
    <mergeCell ref="A15:J15"/>
    <mergeCell ref="K15:L15"/>
    <mergeCell ref="M15:O15"/>
    <mergeCell ref="P15:Q15"/>
    <mergeCell ref="A11:B12"/>
    <mergeCell ref="C11:J12"/>
    <mergeCell ref="K11:O11"/>
    <mergeCell ref="P11:Q11"/>
    <mergeCell ref="K12:O12"/>
    <mergeCell ref="P12:Q12"/>
    <mergeCell ref="D5:O5"/>
    <mergeCell ref="P5:Q5"/>
    <mergeCell ref="P6:Q6"/>
    <mergeCell ref="A7:O7"/>
    <mergeCell ref="A8:B10"/>
    <mergeCell ref="C8:Q8"/>
    <mergeCell ref="H10:I10"/>
    <mergeCell ref="K10:L10"/>
    <mergeCell ref="A1:O1"/>
    <mergeCell ref="P1:Q1"/>
    <mergeCell ref="P2:Q2"/>
    <mergeCell ref="D3:O3"/>
    <mergeCell ref="P3:Q3"/>
    <mergeCell ref="D4:O4"/>
    <mergeCell ref="P4:Q4"/>
  </mergeCells>
  <pageMargins left="0.25" right="0.25" top="0.75" bottom="0.75" header="0.3" footer="0.3"/>
  <pageSetup paperSize="9" scale="5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meralcobir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cp:lastPrinted>2025-03-23T07:18:52Z</cp:lastPrinted>
  <dcterms:created xsi:type="dcterms:W3CDTF">2024-12-20T12:05:00Z</dcterms:created>
  <dcterms:modified xsi:type="dcterms:W3CDTF">2025-03-23T20:17:35Z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35B84B4974174BAD9BD589B20176C5F9_11</vt:lpwstr>
  </property>
  <property fmtid="{D5CDD505-2E9C-101B-9397-08002B2CF9AE}" pid="3" name="KSOProductBuildVer">
    <vt:lpwstr>2057-12.2.0.19821</vt:lpwstr>
  </property>
</Properties>
</file>